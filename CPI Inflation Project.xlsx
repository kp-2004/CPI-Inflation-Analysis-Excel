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4.xml" ContentType="application/vnd.openxmlformats-officedocument.spreadsheetml.pivotTable+xml"/>
  <Override PartName="/xl/drawings/drawing5.xml" ContentType="application/vnd.openxmlformats-officedocument.drawing+xml"/>
  <Override PartName="/xl/tables/table2.xml" ContentType="application/vnd.openxmlformats-officedocument.spreadsheetml.tab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6.xml" ContentType="application/vnd.openxmlformats-officedocument.drawing+xml"/>
  <Override PartName="/xl/tables/table3.xml" ContentType="application/vnd.openxmlformats-officedocument.spreadsheetml.tab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7.xml" ContentType="application/vnd.openxmlformats-officedocument.drawingml.chartshapes+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ables/table4.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KANCHAN\Downloads\"/>
    </mc:Choice>
  </mc:AlternateContent>
  <xr:revisionPtr revIDLastSave="0" documentId="8_{D86DA204-8D85-40EE-92E4-320A8BBC1796}" xr6:coauthVersionLast="47" xr6:coauthVersionMax="47" xr10:uidLastSave="{00000000-0000-0000-0000-000000000000}"/>
  <bookViews>
    <workbookView xWindow="-108" yWindow="-108" windowWidth="23256" windowHeight="12456" firstSheet="4" activeTab="5" xr2:uid="{84BD8659-92E1-4799-A614-EA983C69908E}"/>
  </bookViews>
  <sheets>
    <sheet name="Objective 1" sheetId="5" r:id="rId1"/>
    <sheet name="Objective 2" sheetId="7" r:id="rId2"/>
    <sheet name="Objective 3" sheetId="10" r:id="rId3"/>
    <sheet name="Objective 4" sheetId="12" r:id="rId4"/>
    <sheet name="All_India_Index_Upto_April23 " sheetId="1" r:id="rId5"/>
    <sheet name="Objective 5" sheetId="13" r:id="rId6"/>
    <sheet name="Dashboard" sheetId="16" r:id="rId7"/>
    <sheet name="Data Dictionary" sheetId="2" r:id="rId8"/>
    <sheet name="Crude Oil Data" sheetId="14" r:id="rId9"/>
    <sheet name="Sources" sheetId="15" r:id="rId10"/>
  </sheets>
  <definedNames>
    <definedName name="_xlnm._FilterDatabase" localSheetId="4" hidden="1">'All_India_Index_Upto_April23 '!$A$1:$AE$374</definedName>
  </definedNames>
  <calcPr calcId="191029"/>
  <pivotCaches>
    <pivotCache cacheId="0" r:id="rId11"/>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4" i="13" l="1"/>
  <c r="J33" i="13"/>
  <c r="J32" i="13"/>
  <c r="J31" i="13"/>
  <c r="J30" i="13"/>
  <c r="J29" i="13"/>
  <c r="J28" i="13"/>
  <c r="J27" i="13"/>
  <c r="J26" i="13"/>
  <c r="J25" i="13"/>
  <c r="J24" i="13"/>
  <c r="J23" i="13"/>
  <c r="J22" i="13"/>
  <c r="J21" i="13"/>
  <c r="J20" i="13"/>
  <c r="J19" i="13"/>
  <c r="J18" i="13"/>
  <c r="J17" i="13"/>
  <c r="J16" i="13"/>
  <c r="J15" i="13"/>
  <c r="J14" i="13"/>
  <c r="J13" i="13"/>
  <c r="J12" i="13"/>
  <c r="J11" i="13"/>
  <c r="J10" i="13"/>
  <c r="J9" i="13"/>
  <c r="J8" i="13"/>
  <c r="J7" i="13"/>
  <c r="E3" i="14"/>
  <c r="E4" i="14"/>
  <c r="E5" i="14"/>
  <c r="E6" i="14"/>
  <c r="E7" i="14"/>
  <c r="E8" i="14"/>
  <c r="E9" i="14"/>
  <c r="E10" i="14"/>
  <c r="E11" i="14"/>
  <c r="E12" i="14"/>
  <c r="E13" i="14"/>
  <c r="E14" i="14"/>
  <c r="E15" i="14"/>
  <c r="E16" i="14"/>
  <c r="E17" i="14"/>
  <c r="E18" i="14"/>
  <c r="E19" i="14"/>
  <c r="E20" i="14"/>
  <c r="E21" i="14"/>
  <c r="E22" i="14"/>
  <c r="E23" i="14"/>
  <c r="E24" i="14"/>
  <c r="E25" i="14"/>
  <c r="E26" i="14"/>
  <c r="E27" i="14"/>
  <c r="E28" i="14"/>
  <c r="E29" i="14"/>
  <c r="E30" i="14"/>
  <c r="E4" i="10"/>
  <c r="E3" i="10"/>
  <c r="C7" i="12"/>
  <c r="C8" i="12"/>
  <c r="C9" i="12"/>
  <c r="C10" i="12"/>
  <c r="C11" i="12"/>
  <c r="C12" i="12"/>
  <c r="C13" i="12"/>
  <c r="C6" i="12"/>
  <c r="E8" i="12"/>
  <c r="E9" i="12"/>
  <c r="E10" i="12"/>
  <c r="E11" i="12"/>
  <c r="E12" i="12"/>
  <c r="E13" i="12"/>
  <c r="E7" i="12"/>
  <c r="D227" i="1"/>
  <c r="D23" i="10"/>
  <c r="D24" i="10"/>
  <c r="D25" i="10"/>
  <c r="D26" i="10"/>
  <c r="D27" i="10"/>
  <c r="D28" i="10"/>
  <c r="D29" i="10"/>
  <c r="D30" i="10"/>
  <c r="D31" i="10"/>
  <c r="D32" i="10"/>
  <c r="D33" i="10"/>
  <c r="D22" i="10"/>
  <c r="E5" i="10"/>
  <c r="E6" i="10"/>
  <c r="E7" i="10"/>
  <c r="E8" i="10"/>
  <c r="E9" i="10"/>
  <c r="E10" i="10"/>
  <c r="E11" i="10"/>
  <c r="E12" i="10"/>
  <c r="E13" i="10"/>
  <c r="E14" i="10"/>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B12" i="5"/>
  <c r="B15" i="5" l="1"/>
  <c r="B21" i="5" s="1"/>
  <c r="B20" i="5"/>
  <c r="B19" i="5"/>
  <c r="B18" i="5"/>
  <c r="B17" i="5"/>
  <c r="B16"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4F08E1B-DD3B-4AC2-B49B-4CB9DCE81891}" keepAlive="1" name="Query - Table1" description="Connection to the 'Table1' query in the workbook." type="5" refreshedVersion="0"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<sst xmlns="http://schemas.openxmlformats.org/spreadsheetml/2006/main" count="1248" uniqueCount="191">
  <si>
    <t>Sector</t>
  </si>
  <si>
    <t>Year</t>
  </si>
  <si>
    <t>Month</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</si>
  <si>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</si>
  <si>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</si>
  <si>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</si>
  <si>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</si>
  <si>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</si>
  <si>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</si>
  <si>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</si>
  <si>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</si>
  <si>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</si>
  <si>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</si>
  <si>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</si>
  <si>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</si>
  <si>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</si>
  <si>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</si>
  <si>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</si>
  <si>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</si>
  <si>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</si>
  <si>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</si>
  <si>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</si>
  <si>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</si>
  <si>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</si>
  <si>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</si>
  <si>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</si>
  <si>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</si>
  <si>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</si>
  <si>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</si>
  <si>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</si>
  <si>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Rural</t>
  </si>
  <si>
    <t>January</t>
  </si>
  <si>
    <t>NA</t>
  </si>
  <si>
    <t>Urban</t>
  </si>
  <si>
    <t>Rural+Urban</t>
  </si>
  <si>
    <t>February</t>
  </si>
  <si>
    <t>March</t>
  </si>
  <si>
    <t>April</t>
  </si>
  <si>
    <t>May</t>
  </si>
  <si>
    <t>June</t>
  </si>
  <si>
    <t>July</t>
  </si>
  <si>
    <t>August</t>
  </si>
  <si>
    <t>September</t>
  </si>
  <si>
    <t>October</t>
  </si>
  <si>
    <t xml:space="preserve">November </t>
  </si>
  <si>
    <t>November</t>
  </si>
  <si>
    <t>December</t>
  </si>
  <si>
    <t>Column Name</t>
  </si>
  <si>
    <t>Description</t>
  </si>
  <si>
    <t>Geographic sector where the CPI data is recorded (Rural, Urban, or Combined).</t>
  </si>
  <si>
    <t>Year in which the CPI data was recorded.</t>
  </si>
  <si>
    <t>Month for which the CPI index is reported.</t>
  </si>
  <si>
    <t>CPI index for cereals and cereal-based food products.</t>
  </si>
  <si>
    <t>CPI index for meat and fish products.</t>
  </si>
  <si>
    <t>CPI index for eggs and egg-based products.</t>
  </si>
  <si>
    <t>CPI index for milk, dairy, and related products.</t>
  </si>
  <si>
    <t>CPI index for edible oils and fats.</t>
  </si>
  <si>
    <t>CPI index for fresh and processed fruits.</t>
  </si>
  <si>
    <t>CPI index for fresh vegetables.</t>
  </si>
  <si>
    <t>CPI index for pulses, lentils, and related products.</t>
  </si>
  <si>
    <t>CPI index for sugar and confectionery items.</t>
  </si>
  <si>
    <t>CPI index for spices and seasoning products.</t>
  </si>
  <si>
    <t>CPI index for tea, coffee, juices, and other non-alcoholic beverages.</t>
  </si>
  <si>
    <t>CPI index for ready-to-eat meals, snacks, and sweets.</t>
  </si>
  <si>
    <t>Overall CPI index for all food and beverage items.</t>
  </si>
  <si>
    <t>CPI index for pan, tobacco, and intoxicating products.</t>
  </si>
  <si>
    <t>CPI index for clothing and apparel items.</t>
  </si>
  <si>
    <t>CPI index for footwear products.</t>
  </si>
  <si>
    <t>Combined CPI index for clothing and footwear.</t>
  </si>
  <si>
    <t>CPI index for housing and accommodation expenses.</t>
  </si>
  <si>
    <t>CPI index for fuel, electricity, and lighting expenses.</t>
  </si>
  <si>
    <t>CPI index for household goods and related services.</t>
  </si>
  <si>
    <t>CPI index for healthcare and medical expenses.</t>
  </si>
  <si>
    <t>CPI index for transportation and communication services.</t>
  </si>
  <si>
    <t>CPI index for entertainment and recreational activities.</t>
  </si>
  <si>
    <t>CPI index for education-related expenses.</t>
  </si>
  <si>
    <t>CPI index for personal care products and services.</t>
  </si>
  <si>
    <t>CPI index for other consumer goods and services not classified elsewhere.</t>
  </si>
  <si>
    <t>Overall Consumer Price Index representing total inflation across all categories.</t>
  </si>
  <si>
    <t>Food and Beverages</t>
  </si>
  <si>
    <t xml:space="preserve">Pan ,tobacco </t>
  </si>
  <si>
    <t>Clothing and Footwear</t>
  </si>
  <si>
    <t>Fuel and Light</t>
  </si>
  <si>
    <t>Personal Care and Effect</t>
  </si>
  <si>
    <t>Sum of Pan, tobacco and intoxicants</t>
  </si>
  <si>
    <t>Sum of Fuel and light</t>
  </si>
  <si>
    <t>Sum of Food and beverages</t>
  </si>
  <si>
    <t>Sum of Clothing and footwear</t>
  </si>
  <si>
    <t>Sum of Miscellaneous</t>
  </si>
  <si>
    <t>Values</t>
  </si>
  <si>
    <t>Sum of Housing</t>
  </si>
  <si>
    <t>Category</t>
  </si>
  <si>
    <t xml:space="preserve">Insight </t>
  </si>
  <si>
    <t>Total</t>
  </si>
  <si>
    <t>Broad Category</t>
  </si>
  <si>
    <t>Grand Total</t>
  </si>
  <si>
    <t>Contribution Value</t>
  </si>
  <si>
    <t>In May 2023, Pan, Tobacco &amp; Intoxicants recorded the highest CPI index (201)and contribution 18.27% among all major CPI categories in the Rural+Urban segment, while Housing recorded the lowest index (175.6) and contribution(15.96%). This indicates that the Pan, Tobacco &amp; Intoxicants category experienced relatively higher price levels than the other broad categories during the latest month.</t>
  </si>
  <si>
    <t>Recommandation</t>
  </si>
  <si>
    <t>This category should be monitored in future months to determine whether the higher contribution is part of a sustained trend or a temporary fluctuation.</t>
  </si>
  <si>
    <t>Column1</t>
  </si>
  <si>
    <t>Column2</t>
  </si>
  <si>
    <t>Inflation Rate(y to y)</t>
  </si>
  <si>
    <t>Row Labels</t>
  </si>
  <si>
    <t>Sum of General index</t>
  </si>
  <si>
    <t>Insight</t>
  </si>
  <si>
    <t>YoY CPI inflation peaked at approximately 7% in May 2022, driven by elevated global food and energy prices, lingering supply-chain disruptions and the economic impact of the Russia-Ukraine war. Rising commodity prices and domestic supply pressures increased inflation across food, fuel and other CPI categories. Inflation subsequently declined to approximately 4% in May 2023, indicating easing price pressures compared with the previous year.</t>
  </si>
  <si>
    <t>Segment</t>
  </si>
  <si>
    <t>Food and Beverage CPI</t>
  </si>
  <si>
    <t>M to M Inflation Rate(%)</t>
  </si>
  <si>
    <t>Jan</t>
  </si>
  <si>
    <t>Feb</t>
  </si>
  <si>
    <t>Mar</t>
  </si>
  <si>
    <t>Apr</t>
  </si>
  <si>
    <t>Jun</t>
  </si>
  <si>
    <t>Jul</t>
  </si>
  <si>
    <t>Aug</t>
  </si>
  <si>
    <t>Sep</t>
  </si>
  <si>
    <t>Oct</t>
  </si>
  <si>
    <t>Nov</t>
  </si>
  <si>
    <t>Dec</t>
  </si>
  <si>
    <t>Food Category</t>
  </si>
  <si>
    <t>Careals &amp; products</t>
  </si>
  <si>
    <t>Meat &amp; fish</t>
  </si>
  <si>
    <t>Milk &amp; products</t>
  </si>
  <si>
    <t>oils and fats</t>
  </si>
  <si>
    <t>Pulses &amp; products</t>
  </si>
  <si>
    <t>Sugar &amp; confectionery</t>
  </si>
  <si>
    <t>Absolute Change</t>
  </si>
  <si>
    <t>Food and Beverages  Inflation declined by -2.35% in June 2022 was primarily a result of rapid correction in edible oil prices and swift government suppy. And Seasonal Summer Vegetable Arrivals.  Food Inflation Increased by 1.01% in October 2022 represents a post-monsoon supply shock and festive seasonal demand.</t>
  </si>
  <si>
    <t>Spices recorded the largest absolute increase of 33.10 index points. Further research indicates that domestic supply and weather-related factors contributed to upward price pressure.Oils and fats recorded the largest absolute decline, falling by 32.40 index points between May 2022 and May 2023, indicating a substantial reduction in price pressure within the category.</t>
  </si>
  <si>
    <t>General Index</t>
  </si>
  <si>
    <t>Before Covid</t>
  </si>
  <si>
    <t>Covid Onset</t>
  </si>
  <si>
    <t>After Covid</t>
  </si>
  <si>
    <t>Sum of Health</t>
  </si>
  <si>
    <t>Column Labels</t>
  </si>
  <si>
    <t>Y to Y Inflation</t>
  </si>
  <si>
    <t>Covid Period</t>
  </si>
  <si>
    <t xml:space="preserve">Post-Covid </t>
  </si>
  <si>
    <t xml:space="preserve">Post-Covid global inflation spiked to 6-7% because unprecedented supply bottlenecks collided with </t>
  </si>
  <si>
    <t>massive gevernment economic stimulus</t>
  </si>
  <si>
    <t>Before-Covid</t>
  </si>
  <si>
    <t xml:space="preserve">Inflation was significantly lower from 2017 to 2019 because of highly stable global supply chains, </t>
  </si>
  <si>
    <t>weak wage growth, and intense competition from online retail.</t>
  </si>
  <si>
    <t>Health recorded the largest increase in the price index, rising from 122.9 in March 2016 to 184.4 in March 2023 (+61.5 points), followed by Fuel &amp; Light (+59.5) and Food &amp; Beverages (+47.2). The categories did not react at exactly the same time; the sharper increase became more visible around and after the COVID period, particularly from 2020 onward. The increase was not temporary, as all three categories remained at elevated levels through 2023, indicating a persistent rise in prices.</t>
  </si>
  <si>
    <t>Food M to M(%)</t>
  </si>
  <si>
    <t>Housing M to M(%)</t>
  </si>
  <si>
    <t>Pan M to M(%)</t>
  </si>
  <si>
    <t>Fuel and Light M to M (%)</t>
  </si>
  <si>
    <t>Miscellaneous M to M(%)</t>
  </si>
  <si>
    <t>Clothing and Footware M to M(%)</t>
  </si>
  <si>
    <t>MoM Change (%)</t>
  </si>
  <si>
    <t>Indian Basket Crude Oil ($/bbl)</t>
  </si>
  <si>
    <t>Date</t>
  </si>
  <si>
    <t>Government Open Data resource sourced from PPAC.</t>
  </si>
  <si>
    <t>Data.gov.in – Monthly-wise Indian Basket crude oil prices</t>
  </si>
  <si>
    <t>Official PPAC report containing Indian Basket monthly values and 2023 Jan-May values.</t>
  </si>
  <si>
    <t>PPAC Ready Reckoner FY 2022-23 – Table 8.1</t>
  </si>
  <si>
    <t>https://ppac.gov.in/prices/international-prices-of-crude-oil</t>
  </si>
  <si>
    <t>PPAC – Crude Oil FOB Price (Indian Basket)</t>
  </si>
  <si>
    <t>Link / Reference</t>
  </si>
  <si>
    <t>Source</t>
  </si>
  <si>
    <t>Correlation with Crude Oil MoM</t>
  </si>
  <si>
    <t>Interpretation</t>
  </si>
  <si>
    <t>Identify which broad category contributes the most to India's overall CPI.</t>
  </si>
  <si>
    <t>Compare the relative contribution of Food , Energy, Housing, Transport , and other categories.</t>
  </si>
  <si>
    <t>Objective 1 : Which CPI category contributes most?</t>
  </si>
  <si>
    <t>Objective 2: How has inflation changed over time?</t>
  </si>
  <si>
    <t>Track how India's CPI inflation changed year-over-year from 2017 onward.</t>
  </si>
  <si>
    <t>Identify the highest-inflation year and investigate the key factors behind the increase.</t>
  </si>
  <si>
    <t>Objective 3: What is driving food inflation?</t>
  </si>
  <si>
    <t>Analyze monthly food-price movements over the 12 months ending May 2023.</t>
  </si>
  <si>
    <t>Identify the highest/lowest food inflation and the category contributing most to the change.</t>
  </si>
  <si>
    <t>Objective 4: How did COVID-19 affect inflation?</t>
  </si>
  <si>
    <t>Assess how the COVID-19 pandemic and the March 2020 onset affected India's inflation.</t>
  </si>
  <si>
    <t>Compare inflation trends before and after COVID, particularly across food, health, and essential services.</t>
  </si>
  <si>
    <t>Objective 5: How are crude oil prices linked to CPI?</t>
  </si>
  <si>
    <t>Examine how monthly Indian crude-oil price fluctuations relate to CPI category inflation from 2021–May 2023.</t>
  </si>
  <si>
    <t>Identify which CPI category shows the strongest relationship with crude-oil movements.</t>
  </si>
  <si>
    <t>Highest positive correlation, but the relationship is very weak.</t>
  </si>
  <si>
    <t>Very weak positive relationship with crude-oil fluctuations.</t>
  </si>
  <si>
    <t>Very weak positive relationship.</t>
  </si>
  <si>
    <t>Very weak positive relationship, despite being an energy-related category.</t>
  </si>
  <si>
    <t>Weakest positive relationship among the categories.</t>
  </si>
  <si>
    <t>Crude-oil fluctuations showed only weak positive relationships with all CPI categories, with Pan, tobacco &amp; intoxicants recording the highest correlation (r = 0.156). This suggests that other economic factors played a larger role in driving category-level inflation.</t>
  </si>
  <si>
    <t>In May 2023, Pan, Tobacco &amp; Intoxicants had the highest CPI index (201) and contribution (18.27%), while Housing had the lowest (175.6; 15.96%).</t>
  </si>
  <si>
    <t>YoY CPI inflation peaked at ~7% in May 2022 before easing to ~4% in May 2023, indicating a decline in overall price pressures.</t>
  </si>
  <si>
    <t>Food inflation fell 2.35% in June 2022, then rebounded 1.01% in October, reflecting changing food supply and seasonal demand conditions.</t>
  </si>
  <si>
    <t>Spices recorded the largest increase (+33.10 points), while Oils &amp; Fats saw the largest decline (−32.40 points) from May 2022 to May 2023.</t>
  </si>
  <si>
    <t>Health recorded the largest increase (+61.5 points), followed by Fuel &amp; Light (+59.5) and Food &amp; Beverages (+47.2) from March 2016 to March 2023, with price levels remaining elevated after COVID-19.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</si>
</sst>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mmm\-yyyy"/>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b/>
      <sz val="11"/>
      <name val="Calibri"/>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rgb="FFD9EAF7"/>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56">
    <xf numFmtId="0" fontId="0" fillId="0" borderId="0" xfId="0"/>
    <xf numFmtId="0" fontId="16" fillId="0" borderId="0" xfId="0" applyFont="1" applyAlignment="1">
      <alignment horizontal="center" vertical="center"/>
    </xf>
    <xf numFmtId="0" fontId="0" fillId="0" borderId="0" xfId="0" applyAlignment="1">
      <alignment vertical="center"/>
    </xf>
    <xf numFmtId="0" fontId="1" fillId="10" borderId="0" xfId="19"/>
    <xf numFmtId="0" fontId="1" fillId="18" borderId="0" xfId="27"/>
    <xf numFmtId="0" fontId="1" fillId="22" borderId="0" xfId="31"/>
    <xf numFmtId="0" fontId="1" fillId="26" borderId="0" xfId="35"/>
    <xf numFmtId="0" fontId="1" fillId="30" borderId="0" xfId="39"/>
    <xf numFmtId="0" fontId="0" fillId="0" borderId="0" xfId="0" pivotButton="1"/>
    <xf numFmtId="0" fontId="0" fillId="0" borderId="0" xfId="0" applyAlignment="1">
      <alignment horizontal="left"/>
    </xf>
    <xf numFmtId="14" fontId="0" fillId="0" borderId="0" xfId="0" applyNumberFormat="1"/>
    <xf numFmtId="10" fontId="0" fillId="0" borderId="0" xfId="0" applyNumberFormat="1"/>
    <xf numFmtId="0" fontId="5" fillId="0" borderId="3" xfId="4"/>
    <xf numFmtId="0" fontId="16" fillId="0" borderId="9" xfId="17" applyAlignment="1">
      <alignment horizontal="left"/>
    </xf>
    <xf numFmtId="10" fontId="16" fillId="0" borderId="9" xfId="17" applyNumberFormat="1"/>
    <xf numFmtId="0" fontId="1" fillId="14" borderId="0" xfId="23"/>
    <xf numFmtId="9" fontId="0" fillId="0" borderId="0" xfId="42" applyFont="1"/>
    <xf numFmtId="2" fontId="0" fillId="0" borderId="0" xfId="42" applyNumberFormat="1" applyFont="1"/>
    <xf numFmtId="0" fontId="1" fillId="16" borderId="0" xfId="25"/>
    <xf numFmtId="0" fontId="7" fillId="3" borderId="0" xfId="7"/>
    <xf numFmtId="0" fontId="7" fillId="3" borderId="0" xfId="7" applyNumberFormat="1"/>
    <xf numFmtId="10" fontId="7" fillId="3" borderId="0" xfId="7" applyNumberFormat="1"/>
    <xf numFmtId="0" fontId="6" fillId="2" borderId="0" xfId="6"/>
    <xf numFmtId="0" fontId="6" fillId="2" borderId="0" xfId="6" applyNumberFormat="1"/>
    <xf numFmtId="10" fontId="6" fillId="2" borderId="0" xfId="6" applyNumberFormat="1"/>
    <xf numFmtId="2" fontId="6" fillId="2" borderId="0" xfId="6" applyNumberFormat="1"/>
    <xf numFmtId="2" fontId="7" fillId="3" borderId="0" xfId="7" applyNumberFormat="1"/>
    <xf numFmtId="17" fontId="5" fillId="0" borderId="3" xfId="4" applyNumberFormat="1"/>
    <xf numFmtId="0" fontId="1" fillId="23" borderId="0" xfId="32"/>
    <xf numFmtId="0" fontId="8" fillId="4" borderId="0" xfId="8"/>
    <xf numFmtId="0" fontId="1" fillId="15" borderId="0" xfId="24"/>
    <xf numFmtId="0" fontId="1" fillId="15" borderId="0" xfId="24" applyAlignment="1">
      <alignment horizontal="left"/>
    </xf>
    <xf numFmtId="0" fontId="1" fillId="15" borderId="0" xfId="24" applyNumberFormat="1"/>
    <xf numFmtId="9" fontId="1" fillId="15" borderId="0" xfId="24" applyNumberFormat="1"/>
    <xf numFmtId="0" fontId="1" fillId="27" borderId="0" xfId="36"/>
    <xf numFmtId="0" fontId="1" fillId="11" borderId="0" xfId="20"/>
    <xf numFmtId="0" fontId="16" fillId="33" borderId="10" xfId="0" applyFont="1" applyFill="1" applyBorder="1"/>
    <xf numFmtId="0" fontId="5" fillId="0" borderId="3" xfId="4" applyAlignment="1">
      <alignment horizontal="left"/>
    </xf>
    <xf numFmtId="0" fontId="5" fillId="0" borderId="3" xfId="4" applyFill="1"/>
    <xf numFmtId="164" fontId="0" fillId="0" borderId="0" xfId="42" applyNumberFormat="1" applyFont="1"/>
    <xf numFmtId="2" fontId="0" fillId="0" borderId="0" xfId="0" applyNumberFormat="1"/>
    <xf numFmtId="165" fontId="0" fillId="0" borderId="0" xfId="0" applyNumberFormat="1"/>
    <xf numFmtId="0" fontId="19" fillId="34" borderId="0" xfId="0" applyFont="1" applyFill="1" applyAlignment="1">
      <alignment horizontal="center"/>
    </xf>
    <xf numFmtId="0" fontId="19" fillId="0" borderId="0" xfId="0" applyFont="1"/>
    <xf numFmtId="0" fontId="19" fillId="34" borderId="0" xfId="0" applyFont="1" applyFill="1"/>
    <xf numFmtId="0" fontId="1" fillId="23" borderId="0" xfId="32" applyAlignment="1">
      <alignment horizontal="left" wrapText="1"/>
    </xf>
    <xf numFmtId="0" fontId="8" fillId="4" borderId="0" xfId="8" applyAlignment="1">
      <alignment horizontal="left" wrapText="1"/>
    </xf>
    <xf numFmtId="0" fontId="1" fillId="11" borderId="0" xfId="20" applyAlignment="1">
      <alignment horizontal="left" wrapText="1"/>
    </xf>
    <xf numFmtId="0" fontId="1" fillId="10" borderId="0" xfId="19"/>
    <xf numFmtId="0" fontId="1" fillId="10" borderId="0" xfId="19" applyAlignment="1">
      <alignment horizontal="left" wrapText="1"/>
    </xf>
    <xf numFmtId="0" fontId="1" fillId="16" borderId="0" xfId="25" applyAlignment="1">
      <alignment horizontal="left" wrapText="1"/>
    </xf>
    <xf numFmtId="0" fontId="1" fillId="10" borderId="0" xfId="19" applyAlignment="1">
      <alignment horizontal="center" wrapText="1"/>
    </xf>
    <xf numFmtId="0" fontId="1" fillId="14" borderId="0" xfId="23" applyAlignment="1">
      <alignment horizontal="center"/>
    </xf>
    <xf numFmtId="0" fontId="8" fillId="4" borderId="0" xfId="8" applyAlignment="1">
      <alignment horizontal="center" wrapText="1"/>
    </xf>
    <xf numFmtId="0" fontId="1" fillId="11" borderId="0" xfId="20" applyAlignment="1">
      <alignment horizontal="center" wrapText="1"/>
    </xf>
    <xf numFmtId="0" fontId="1" fillId="10" borderId="0" xfId="19" applyAlignme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5">
    <dxf>
      <numFmt numFmtId="0" formatCode="General"/>
    </dxf>
    <dxf>
      <font>
        <b/>
        <i val="0"/>
        <strike val="0"/>
        <condense val="0"/>
        <extend val="0"/>
        <outline val="0"/>
        <shadow val="0"/>
        <u val="none"/>
        <vertAlign val="baseline"/>
        <sz val="11"/>
        <color auto="1"/>
        <name val="Calibri"/>
        <scheme val="none"/>
      </font>
      <fill>
        <patternFill patternType="solid">
          <fgColor indexed="64"/>
          <bgColor rgb="FFD9EAF7"/>
        </patternFill>
      </fill>
    </dxf>
    <dxf>
      <numFmt numFmtId="0" formatCode="General"/>
    </dxf>
    <dxf>
      <font>
        <b/>
        <i val="0"/>
        <strike val="0"/>
        <condense val="0"/>
        <extend val="0"/>
        <outline val="0"/>
        <shadow val="0"/>
        <u val="none"/>
        <vertAlign val="baseline"/>
        <sz val="11"/>
        <color auto="1"/>
        <name val="Calibri"/>
        <scheme val="none"/>
      </font>
      <fill>
        <patternFill patternType="solid">
          <fgColor indexed="64"/>
          <bgColor rgb="FFD9EAF7"/>
        </patternFill>
      </fil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Contribution by Broad Category (May 2023)</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clustered"/>
        <c:varyColors val="0"/>
        <c:ser>
          <c:idx val="0"/>
          <c:order val="0"/>
          <c:spPr>
            <a:solidFill>
              <a:schemeClr val="accent1"/>
            </a:solidFill>
            <a:ln>
              <a:noFill/>
            </a:ln>
            <a:effectLst/>
          </c:spPr>
          <c:invertIfNegative val="0"/>
          <c:cat>
            <c:strRef>
              <c:f>'Objective 1'!$A$15:$A$20</c:f>
              <c:strCache>
                <c:ptCount val="6"/>
                <c:pt idx="0">
                  <c:v>Sum of Food and beverages</c:v>
                </c:pt>
                <c:pt idx="1">
                  <c:v>Sum of Miscellaneous</c:v>
                </c:pt>
                <c:pt idx="2">
                  <c:v>Sum of Pan, tobacco and intoxicants</c:v>
                </c:pt>
                <c:pt idx="3">
                  <c:v>Sum of Housing</c:v>
                </c:pt>
                <c:pt idx="4">
                  <c:v>Sum of Fuel and light</c:v>
                </c:pt>
                <c:pt idx="5">
                  <c:v>Sum of Clothing and footwear</c:v>
                </c:pt>
              </c:strCache>
            </c:strRef>
          </c:cat>
          <c:val>
            <c:numRef>
              <c:f>'Objective 1'!$B$15:$B$20</c:f>
              <c:numCache>
                <c:formatCode>0.00%</c:formatCode>
                <c:ptCount val="6"/>
                <c:pt idx="0">
                  <c:v>0.16275899672846236</c:v>
                </c:pt>
                <c:pt idx="1">
                  <c:v>0.15966921119592872</c:v>
                </c:pt>
                <c:pt idx="2">
                  <c:v>0.18266085059978188</c:v>
                </c:pt>
                <c:pt idx="3">
                  <c:v>0.15957833515085421</c:v>
                </c:pt>
                <c:pt idx="4">
                  <c:v>0.16612141039621955</c:v>
                </c:pt>
                <c:pt idx="5">
                  <c:v>0.16921119592875317</c:v>
                </c:pt>
              </c:numCache>
            </c:numRef>
          </c:val>
          <c:extLst>
            <c:ext xmlns:c16="http://schemas.microsoft.com/office/drawing/2014/chart" uri="{C3380CC4-5D6E-409C-BE32-E72D297353CC}">
              <c16:uniqueId val="{00000000-AAAA-4010-95FD-8C9F8354F652}"/>
            </c:ext>
          </c:extLst>
        </c:ser>
        <c:dLbls>
          <c:showLegendKey val="0"/>
          <c:showVal val="0"/>
          <c:showCatName val="0"/>
          <c:showSerName val="0"/>
          <c:showPercent val="0"/>
          <c:showBubbleSize val="0"/>
        </c:dLbls>
        <c:gapWidth val="182"/>
        <c:axId val="1826948688"/>
        <c:axId val="1812618480"/>
      </c:barChart>
      <c:catAx>
        <c:axId val="182694868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Broad</a:t>
                </a:r>
                <a:r>
                  <a:rPr lang="en-IN" baseline="0"/>
                  <a:t> Category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2618480"/>
        <c:crosses val="autoZero"/>
        <c:auto val="1"/>
        <c:lblAlgn val="ctr"/>
        <c:lblOffset val="100"/>
        <c:noMultiLvlLbl val="0"/>
      </c:catAx>
      <c:valAx>
        <c:axId val="181261848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Contribution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948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Year-over-Year CPI Inflation Trend (2017–2023)</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strRef>
              <c:f>'Objective 2'!$B$1</c:f>
              <c:strCache>
                <c:ptCount val="1"/>
                <c:pt idx="0">
                  <c:v>Inflation Rate(y to y)</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'Objective 2'!$A$2:$A$8</c:f>
              <c:numCache>
                <c:formatCode>General</c:formatCode>
                <c:ptCount val="7"/>
                <c:pt idx="0">
                  <c:v>2017</c:v>
                </c:pt>
                <c:pt idx="1">
                  <c:v>2018</c:v>
                </c:pt>
                <c:pt idx="2">
                  <c:v>2019</c:v>
                </c:pt>
                <c:pt idx="3">
                  <c:v>2020</c:v>
                </c:pt>
                <c:pt idx="4">
                  <c:v>2021</c:v>
                </c:pt>
                <c:pt idx="5">
                  <c:v>2022</c:v>
                </c:pt>
                <c:pt idx="6">
                  <c:v>2023</c:v>
                </c:pt>
              </c:numCache>
            </c:numRef>
          </c:cat>
          <c:val>
            <c:numRef>
              <c:f>'Objective 2'!$B$2:$B$8</c:f>
              <c:numCache>
                <c:formatCode>0%</c:formatCode>
                <c:ptCount val="7"/>
                <c:pt idx="0">
                  <c:v>2.1772939346811911E-2</c:v>
                </c:pt>
                <c:pt idx="1">
                  <c:v>4.8706240487062444E-2</c:v>
                </c:pt>
                <c:pt idx="2">
                  <c:v>3.0478955007256808E-2</c:v>
                </c:pt>
                <c:pt idx="3">
                  <c:v>6.3380281690140844E-2</c:v>
                </c:pt>
                <c:pt idx="4">
                  <c:v>6.2251655629139112E-2</c:v>
                </c:pt>
                <c:pt idx="5">
                  <c:v>7.0448877805486171E-2</c:v>
                </c:pt>
                <c:pt idx="6">
                  <c:v>4.3098427489807842E-2</c:v>
                </c:pt>
              </c:numCache>
            </c:numRef>
          </c:val>
          <c:smooth val="0"/>
          <c:extLst>
            <c:ext xmlns:c16="http://schemas.microsoft.com/office/drawing/2014/chart" uri="{C3380CC4-5D6E-409C-BE32-E72D297353CC}">
              <c16:uniqueId val="{00000001-2E90-42D2-A9EB-F38FC0BFDA65}"/>
            </c:ext>
          </c:extLst>
        </c:ser>
        <c:dLbls>
          <c:dLblPos val="t"/>
          <c:showLegendKey val="0"/>
          <c:showVal val="1"/>
          <c:showCatName val="0"/>
          <c:showSerName val="0"/>
          <c:showPercent val="0"/>
          <c:showBubbleSize val="0"/>
        </c:dLbls>
        <c:marker val="1"/>
        <c:smooth val="0"/>
        <c:axId val="848856159"/>
        <c:axId val="1675672815"/>
      </c:lineChart>
      <c:catAx>
        <c:axId val="8488561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5672815"/>
        <c:crosses val="autoZero"/>
        <c:auto val="1"/>
        <c:lblAlgn val="ctr"/>
        <c:lblOffset val="100"/>
        <c:noMultiLvlLbl val="0"/>
      </c:catAx>
      <c:valAx>
        <c:axId val="16756728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aseline="0"/>
                  <a:t> Y to Y Inflation (%)</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8856159"/>
        <c:crosses val="autoZero"/>
        <c:crossBetween val="between"/>
      </c:valAx>
      <c:spPr>
        <a:noFill/>
        <a:ln>
          <a:noFill/>
        </a:ln>
        <a:effectLst/>
      </c:spPr>
    </c:plotArea>
    <c:legend>
      <c:legendPos val="b"/>
      <c:layout>
        <c:manualLayout>
          <c:xMode val="edge"/>
          <c:yMode val="edge"/>
          <c:x val="0.22684951881014873"/>
          <c:y val="0.89409667541557303"/>
          <c:w val="0.63518963254593186"/>
          <c:h val="7.812554680664916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Absolute Change in Food CPI Index (May 2022–May 2023)</a:t>
            </a:r>
            <a:endParaRPr lang="en-IN" baseline="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clustered"/>
        <c:varyColors val="0"/>
        <c:ser>
          <c:idx val="0"/>
          <c:order val="0"/>
          <c:tx>
            <c:strRef>
              <c:f>'Objective 3'!$D$21</c:f>
              <c:strCache>
                <c:ptCount val="1"/>
                <c:pt idx="0">
                  <c:v>Absolute Change</c:v>
                </c:pt>
              </c:strCache>
            </c:strRef>
          </c:tx>
          <c:spPr>
            <a:solidFill>
              <a:schemeClr val="accent1"/>
            </a:solidFill>
            <a:ln>
              <a:noFill/>
            </a:ln>
            <a:effectLst/>
          </c:spPr>
          <c:invertIfNegative val="0"/>
          <c:cat>
            <c:strRef>
              <c:f>'Objective 3'!$A$22:$A$33</c:f>
              <c:strCache>
                <c:ptCount val="12"/>
                <c:pt idx="0">
                  <c:v>Careals &amp; products</c:v>
                </c:pt>
                <c:pt idx="1">
                  <c:v>Meat &amp; fish</c:v>
                </c:pt>
                <c:pt idx="2">
                  <c:v>Egg</c:v>
                </c:pt>
                <c:pt idx="3">
                  <c:v>Milk &amp; products</c:v>
                </c:pt>
                <c:pt idx="4">
                  <c:v>oils and fats</c:v>
                </c:pt>
                <c:pt idx="5">
                  <c:v>Fruits</c:v>
                </c:pt>
                <c:pt idx="6">
                  <c:v>Vegetables</c:v>
                </c:pt>
                <c:pt idx="7">
                  <c:v>Pulses &amp; products</c:v>
                </c:pt>
                <c:pt idx="8">
                  <c:v>Sugar &amp; confectionery</c:v>
                </c:pt>
                <c:pt idx="9">
                  <c:v>Spices</c:v>
                </c:pt>
                <c:pt idx="10">
                  <c:v>Non-alcoholic beverages</c:v>
                </c:pt>
                <c:pt idx="11">
                  <c:v>Prepared meals, snacks, sweets etc.</c:v>
                </c:pt>
              </c:strCache>
            </c:strRef>
          </c:cat>
          <c:val>
            <c:numRef>
              <c:f>'Objective 3'!$D$22:$D$33</c:f>
              <c:numCache>
                <c:formatCode>0.00</c:formatCode>
                <c:ptCount val="12"/>
                <c:pt idx="0">
                  <c:v>19.599999999999994</c:v>
                </c:pt>
                <c:pt idx="1">
                  <c:v>-2.6999999999999886</c:v>
                </c:pt>
                <c:pt idx="2">
                  <c:v>10.799999999999983</c:v>
                </c:pt>
                <c:pt idx="3">
                  <c:v>14.599999999999994</c:v>
                </c:pt>
                <c:pt idx="4">
                  <c:v>-32.400000000000006</c:v>
                </c:pt>
                <c:pt idx="5">
                  <c:v>1.1999999999999886</c:v>
                </c:pt>
                <c:pt idx="6">
                  <c:v>-13.900000000000006</c:v>
                </c:pt>
                <c:pt idx="7">
                  <c:v>10.900000000000006</c:v>
                </c:pt>
                <c:pt idx="8">
                  <c:v>3</c:v>
                </c:pt>
                <c:pt idx="9">
                  <c:v>33.099999999999994</c:v>
                </c:pt>
                <c:pt idx="10">
                  <c:v>6.3000000000000114</c:v>
                </c:pt>
                <c:pt idx="11">
                  <c:v>11.699999999999989</c:v>
                </c:pt>
              </c:numCache>
            </c:numRef>
          </c:val>
          <c:extLst>
            <c:ext xmlns:c16="http://schemas.microsoft.com/office/drawing/2014/chart" uri="{C3380CC4-5D6E-409C-BE32-E72D297353CC}">
              <c16:uniqueId val="{00000000-F0A4-494C-A58A-3811CFEF3204}"/>
            </c:ext>
          </c:extLst>
        </c:ser>
        <c:dLbls>
          <c:showLegendKey val="0"/>
          <c:showVal val="0"/>
          <c:showCatName val="0"/>
          <c:showSerName val="0"/>
          <c:showPercent val="0"/>
          <c:showBubbleSize val="0"/>
        </c:dLbls>
        <c:gapWidth val="182"/>
        <c:axId val="313682623"/>
        <c:axId val="830509519"/>
      </c:barChart>
      <c:catAx>
        <c:axId val="31368262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Food</a:t>
                </a:r>
                <a:r>
                  <a:rPr lang="en-IN" baseline="0"/>
                  <a:t> Category</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509519"/>
        <c:crosses val="autoZero"/>
        <c:auto val="1"/>
        <c:lblAlgn val="ctr"/>
        <c:lblOffset val="100"/>
        <c:noMultiLvlLbl val="0"/>
      </c:catAx>
      <c:valAx>
        <c:axId val="83050951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Absolute</a:t>
                </a:r>
                <a:r>
                  <a:rPr lang="en-IN" baseline="0"/>
                  <a:t> Change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3682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Food &amp; Beverages MoM Inflation (Jun 2022–May 2023)</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'Objective 3'!$E$2</c:f>
              <c:strCache>
                <c:ptCount val="1"/>
                <c:pt idx="0">
                  <c:v>M to M Inflation Rate(%)</c:v>
                </c:pt>
              </c:strCache>
            </c:strRef>
          </c:tx>
          <c:spPr>
            <a:solidFill>
              <a:schemeClr val="accent1"/>
            </a:solidFill>
            <a:ln>
              <a:noFill/>
            </a:ln>
            <a:effectLst/>
          </c:spPr>
          <c:invertIfNegative val="0"/>
          <c:cat>
            <c:strRef>
              <c:f>'Objective 3'!$A$3:$A$14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'Objective 3'!$E$3:$E$14</c:f>
              <c:numCache>
                <c:formatCode>0.00%</c:formatCode>
                <c:ptCount val="12"/>
                <c:pt idx="0">
                  <c:v>4.5480386583284984E-3</c:v>
                </c:pt>
                <c:pt idx="1">
                  <c:v>1.6977928692700134E-3</c:v>
                </c:pt>
                <c:pt idx="2">
                  <c:v>0</c:v>
                </c:pt>
                <c:pt idx="3">
                  <c:v>5.0847457627118961E-3</c:v>
                </c:pt>
                <c:pt idx="4">
                  <c:v>6.7453625632377095E-3</c:v>
                </c:pt>
                <c:pt idx="5">
                  <c:v>-2.3450586264656553E-2</c:v>
                </c:pt>
                <c:pt idx="6">
                  <c:v>5.7175528873638828E-4</c:v>
                </c:pt>
                <c:pt idx="7">
                  <c:v>7.4285714285714935E-3</c:v>
                </c:pt>
                <c:pt idx="8" formatCode="0%">
                  <c:v>8.5082246171298923E-3</c:v>
                </c:pt>
                <c:pt idx="9">
                  <c:v>1.0123734533183255E-2</c:v>
                </c:pt>
                <c:pt idx="10">
                  <c:v>-7.2383073496658295E-3</c:v>
                </c:pt>
                <c:pt idx="11">
                  <c:v>-1.3460459899046581E-2</c:v>
                </c:pt>
              </c:numCache>
            </c:numRef>
          </c:val>
          <c:extLst>
            <c:ext xmlns:c16="http://schemas.microsoft.com/office/drawing/2014/chart" uri="{C3380CC4-5D6E-409C-BE32-E72D297353CC}">
              <c16:uniqueId val="{00000000-424C-4FB2-A6CD-397F9B0D1464}"/>
            </c:ext>
          </c:extLst>
        </c:ser>
        <c:dLbls>
          <c:showLegendKey val="0"/>
          <c:showVal val="0"/>
          <c:showCatName val="0"/>
          <c:showSerName val="0"/>
          <c:showPercent val="0"/>
          <c:showBubbleSize val="0"/>
        </c:dLbls>
        <c:gapWidth val="219"/>
        <c:overlap val="-27"/>
        <c:axId val="853913071"/>
        <c:axId val="830558959"/>
      </c:barChart>
      <c:catAx>
        <c:axId val="853913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558959"/>
        <c:crosses val="autoZero"/>
        <c:auto val="1"/>
        <c:lblAlgn val="ctr"/>
        <c:lblOffset val="100"/>
        <c:noMultiLvlLbl val="0"/>
      </c:catAx>
      <c:valAx>
        <c:axId val="83055895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3913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Before</a:t>
            </a:r>
            <a:r>
              <a:rPr lang="en-US" baseline="0"/>
              <a:t> and After Y to Y Inflation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'Objective 4'!$E$5</c:f>
              <c:strCache>
                <c:ptCount val="1"/>
                <c:pt idx="0">
                  <c:v>Y to Y Inflation</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'Objective 4'!$C$6:$C$13</c:f>
              <c:strCache>
                <c:ptCount val="8"/>
                <c:pt idx="0">
                  <c:v>March-2016</c:v>
                </c:pt>
                <c:pt idx="1">
                  <c:v>March-2017</c:v>
                </c:pt>
                <c:pt idx="2">
                  <c:v>March-2018</c:v>
                </c:pt>
                <c:pt idx="3">
                  <c:v>March-2019</c:v>
                </c:pt>
                <c:pt idx="4">
                  <c:v>March-2020</c:v>
                </c:pt>
                <c:pt idx="5">
                  <c:v>March-2021</c:v>
                </c:pt>
                <c:pt idx="6">
                  <c:v>March-2022</c:v>
                </c:pt>
                <c:pt idx="7">
                  <c:v>March-2023</c:v>
                </c:pt>
              </c:strCache>
            </c:strRef>
          </c:cat>
          <c:val>
            <c:numRef>
              <c:f>'Objective 4'!$E$6:$E$13</c:f>
              <c:numCache>
                <c:formatCode>0%</c:formatCode>
                <c:ptCount val="8"/>
                <c:pt idx="1">
                  <c:v>3.8888888888888931E-2</c:v>
                </c:pt>
                <c:pt idx="2">
                  <c:v>4.278074866310156E-2</c:v>
                </c:pt>
                <c:pt idx="3">
                  <c:v>2.8571428571428612E-2</c:v>
                </c:pt>
                <c:pt idx="4">
                  <c:v>5.840455840455832E-2</c:v>
                </c:pt>
                <c:pt idx="5">
                  <c:v>5.5181695827725558E-2</c:v>
                </c:pt>
                <c:pt idx="6">
                  <c:v>6.9515306122448828E-2</c:v>
                </c:pt>
                <c:pt idx="7">
                  <c:v>5.6648777579010143E-2</c:v>
                </c:pt>
              </c:numCache>
            </c:numRef>
          </c:val>
          <c:smooth val="0"/>
          <c:extLst>
            <c:ext xmlns:c16="http://schemas.microsoft.com/office/drawing/2014/chart" uri="{C3380CC4-5D6E-409C-BE32-E72D297353CC}">
              <c16:uniqueId val="{00000000-8CE2-492E-B8F0-933CC483A769}"/>
            </c:ext>
          </c:extLst>
        </c:ser>
        <c:dLbls>
          <c:dLblPos val="t"/>
          <c:showLegendKey val="0"/>
          <c:showVal val="1"/>
          <c:showCatName val="0"/>
          <c:showSerName val="0"/>
          <c:showPercent val="0"/>
          <c:showBubbleSize val="0"/>
        </c:dLbls>
        <c:smooth val="0"/>
        <c:axId val="1451806752"/>
        <c:axId val="1888610544"/>
      </c:lineChart>
      <c:catAx>
        <c:axId val="14518067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Segment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8610544"/>
        <c:crosses val="autoZero"/>
        <c:auto val="1"/>
        <c:lblAlgn val="ctr"/>
        <c:lblOffset val="100"/>
        <c:noMultiLvlLbl val="0"/>
      </c:catAx>
      <c:valAx>
        <c:axId val="18886105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a:t>
                </a:r>
                <a:r>
                  <a:rPr lang="en-IN" baseline="0"/>
                  <a:t> to Y Inflation</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806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[CPI Inflation Project.xlsx]Objective 4!PivotTable3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Essentials</a:t>
            </a:r>
            <a:r>
              <a:rPr lang="en-IN" baseline="0"/>
              <a:t> Things Changes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'Objective 4'!$I$5:$I$7</c:f>
              <c:strCache>
                <c:ptCount val="1"/>
                <c:pt idx="0">
                  <c:v>March - Sum of Health</c:v>
                </c:pt>
              </c:strCache>
            </c:strRef>
          </c:tx>
          <c:spPr>
            <a:solidFill>
              <a:schemeClr val="accent1"/>
            </a:solidFill>
            <a:ln>
              <a:noFill/>
            </a:ln>
            <a:effectLst/>
          </c:spPr>
          <c:invertIfNegative val="0"/>
          <c:cat>
            <c:strRef>
              <c:f>'Objective 4'!$H$8:$H$16</c:f>
              <c:strCache>
                <c:ptCount val="8"/>
                <c:pt idx="0">
                  <c:v>2016</c:v>
                </c:pt>
                <c:pt idx="1">
                  <c:v>2017</c:v>
                </c:pt>
                <c:pt idx="2">
                  <c:v>2018</c:v>
                </c:pt>
                <c:pt idx="3">
                  <c:v>2019</c:v>
                </c:pt>
                <c:pt idx="4">
                  <c:v>2020</c:v>
                </c:pt>
                <c:pt idx="5">
                  <c:v>2021</c:v>
                </c:pt>
                <c:pt idx="6">
                  <c:v>2022</c:v>
                </c:pt>
                <c:pt idx="7">
                  <c:v>2023</c:v>
                </c:pt>
              </c:strCache>
            </c:strRef>
          </c:cat>
          <c:val>
            <c:numRef>
              <c:f>'Objective 4'!$I$8:$I$16</c:f>
              <c:numCache>
                <c:formatCode>General</c:formatCode>
                <c:ptCount val="8"/>
                <c:pt idx="0">
                  <c:v>122.9</c:v>
                </c:pt>
                <c:pt idx="1">
                  <c:v>127.8</c:v>
                </c:pt>
                <c:pt idx="2">
                  <c:v>134.30000000000001</c:v>
                </c:pt>
                <c:pt idx="3">
                  <c:v>146.19999999999999</c:v>
                </c:pt>
                <c:pt idx="4">
                  <c:v>152.30000000000001</c:v>
                </c:pt>
                <c:pt idx="5">
                  <c:v>161.69999999999999</c:v>
                </c:pt>
                <c:pt idx="6">
                  <c:v>173</c:v>
                </c:pt>
                <c:pt idx="7">
                  <c:v>184.4</c:v>
                </c:pt>
              </c:numCache>
            </c:numRef>
          </c:val>
          <c:extLst>
            <c:ext xmlns:c16="http://schemas.microsoft.com/office/drawing/2014/chart" uri="{C3380CC4-5D6E-409C-BE32-E72D297353CC}">
              <c16:uniqueId val="{00000000-39DD-4723-A18B-A6387F4D334F}"/>
            </c:ext>
          </c:extLst>
        </c:ser>
        <c:ser>
          <c:idx val="1"/>
          <c:order val="1"/>
          <c:tx>
            <c:strRef>
              <c:f>'Objective 4'!$J$5:$J$7</c:f>
              <c:strCache>
                <c:ptCount val="1"/>
                <c:pt idx="0">
                  <c:v>March - Sum of Fuel and light</c:v>
                </c:pt>
              </c:strCache>
            </c:strRef>
          </c:tx>
          <c:spPr>
            <a:solidFill>
              <a:schemeClr val="accent2"/>
            </a:solidFill>
            <a:ln>
              <a:noFill/>
            </a:ln>
            <a:effectLst/>
          </c:spPr>
          <c:invertIfNegative val="0"/>
          <c:cat>
            <c:strRef>
              <c:f>'Objective 4'!$H$8:$H$16</c:f>
              <c:strCache>
                <c:ptCount val="8"/>
                <c:pt idx="0">
                  <c:v>2016</c:v>
                </c:pt>
                <c:pt idx="1">
                  <c:v>2017</c:v>
                </c:pt>
                <c:pt idx="2">
                  <c:v>2018</c:v>
                </c:pt>
                <c:pt idx="3">
                  <c:v>2019</c:v>
                </c:pt>
                <c:pt idx="4">
                  <c:v>2020</c:v>
                </c:pt>
                <c:pt idx="5">
                  <c:v>2021</c:v>
                </c:pt>
                <c:pt idx="6">
                  <c:v>2022</c:v>
                </c:pt>
                <c:pt idx="7">
                  <c:v>2023</c:v>
                </c:pt>
              </c:strCache>
            </c:strRef>
          </c:cat>
          <c:val>
            <c:numRef>
              <c:f>'Objective 4'!$J$8:$J$16</c:f>
              <c:numCache>
                <c:formatCode>General</c:formatCode>
                <c:ptCount val="8"/>
                <c:pt idx="0">
                  <c:v>122.4</c:v>
                </c:pt>
                <c:pt idx="1">
                  <c:v>129.1</c:v>
                </c:pt>
                <c:pt idx="2">
                  <c:v>136.5</c:v>
                </c:pt>
                <c:pt idx="3">
                  <c:v>139.69999999999999</c:v>
                </c:pt>
                <c:pt idx="4">
                  <c:v>148.9</c:v>
                </c:pt>
                <c:pt idx="5">
                  <c:v>155.5</c:v>
                </c:pt>
                <c:pt idx="6">
                  <c:v>167.2</c:v>
                </c:pt>
                <c:pt idx="7">
                  <c:v>181.9</c:v>
                </c:pt>
              </c:numCache>
            </c:numRef>
          </c:val>
          <c:extLst>
            <c:ext xmlns:c16="http://schemas.microsoft.com/office/drawing/2014/chart" uri="{C3380CC4-5D6E-409C-BE32-E72D297353CC}">
              <c16:uniqueId val="{00000001-39DD-4723-A18B-A6387F4D334F}"/>
            </c:ext>
          </c:extLst>
        </c:ser>
        <c:ser>
          <c:idx val="2"/>
          <c:order val="2"/>
          <c:tx>
            <c:strRef>
              <c:f>'Objective 4'!$K$5:$K$7</c:f>
              <c:strCache>
                <c:ptCount val="1"/>
                <c:pt idx="0">
                  <c:v>March - Sum of Food and beverages</c:v>
                </c:pt>
              </c:strCache>
            </c:strRef>
          </c:tx>
          <c:spPr>
            <a:solidFill>
              <a:schemeClr val="accent3"/>
            </a:solidFill>
            <a:ln>
              <a:noFill/>
            </a:ln>
            <a:effectLst/>
          </c:spPr>
          <c:invertIfNegative val="0"/>
          <c:cat>
            <c:strRef>
              <c:f>'Objective 4'!$H$8:$H$16</c:f>
              <c:strCache>
                <c:ptCount val="8"/>
                <c:pt idx="0">
                  <c:v>2016</c:v>
                </c:pt>
                <c:pt idx="1">
                  <c:v>2017</c:v>
                </c:pt>
                <c:pt idx="2">
                  <c:v>2018</c:v>
                </c:pt>
                <c:pt idx="3">
                  <c:v>2019</c:v>
                </c:pt>
                <c:pt idx="4">
                  <c:v>2020</c:v>
                </c:pt>
                <c:pt idx="5">
                  <c:v>2021</c:v>
                </c:pt>
                <c:pt idx="6">
                  <c:v>2022</c:v>
                </c:pt>
                <c:pt idx="7">
                  <c:v>2023</c:v>
                </c:pt>
              </c:strCache>
            </c:strRef>
          </c:cat>
          <c:val>
            <c:numRef>
              <c:f>'Objective 4'!$K$8:$K$16</c:f>
              <c:numCache>
                <c:formatCode>General</c:formatCode>
                <c:ptCount val="8"/>
                <c:pt idx="0">
                  <c:v>129.80000000000001</c:v>
                </c:pt>
                <c:pt idx="1">
                  <c:v>133.1</c:v>
                </c:pt>
                <c:pt idx="2">
                  <c:v>137.19999999999999</c:v>
                </c:pt>
                <c:pt idx="3">
                  <c:v>138.1</c:v>
                </c:pt>
                <c:pt idx="4">
                  <c:v>148.9</c:v>
                </c:pt>
                <c:pt idx="5">
                  <c:v>156.69999999999999</c:v>
                </c:pt>
                <c:pt idx="6">
                  <c:v>168.4</c:v>
                </c:pt>
                <c:pt idx="7">
                  <c:v>177</c:v>
                </c:pt>
              </c:numCache>
            </c:numRef>
          </c:val>
          <c:extLst>
            <c:ext xmlns:c16="http://schemas.microsoft.com/office/drawing/2014/chart" uri="{C3380CC4-5D6E-409C-BE32-E72D297353CC}">
              <c16:uniqueId val="{00000002-39DD-4723-A18B-A6387F4D334F}"/>
            </c:ext>
          </c:extLst>
        </c:ser>
        <c:dLbls>
          <c:showLegendKey val="0"/>
          <c:showVal val="0"/>
          <c:showCatName val="0"/>
          <c:showSerName val="0"/>
          <c:showPercent val="0"/>
          <c:showBubbleSize val="0"/>
        </c:dLbls>
        <c:gapWidth val="219"/>
        <c:overlap val="-27"/>
        <c:axId val="1180216864"/>
        <c:axId val="1888700784"/>
      </c:barChart>
      <c:catAx>
        <c:axId val="11802168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8700784"/>
        <c:crosses val="autoZero"/>
        <c:auto val="1"/>
        <c:lblAlgn val="ctr"/>
        <c:lblOffset val="100"/>
        <c:noMultiLvlLbl val="0"/>
      </c:catAx>
      <c:valAx>
        <c:axId val="18887007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CPI</a:t>
                </a:r>
                <a:r>
                  <a:rPr lang="en-IN" baseline="0"/>
                  <a:t> Index</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216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4650123294479484"/>
          <c:y val="0.15671809167021661"/>
          <c:w val="0.70941333767658221"/>
          <c:h val="0.77552239803662248"/>
        </c:manualLayout>
      </c:layout>
      <c:barChart>
        <c:barDir val="bar"/>
        <c:grouping val="clustered"/>
        <c:varyColors val="0"/>
        <c:ser>
          <c:idx val="0"/>
          <c:order val="0"/>
          <c:tx>
            <c:strRef>
              <c:f>'Objective 5'!$B$38</c:f>
              <c:strCache>
                <c:ptCount val="1"/>
                <c:pt idx="0">
                  <c:v>Correlation with Crude Oil MoM</c:v>
                </c:pt>
              </c:strCache>
            </c:strRef>
          </c:tx>
          <c:spPr>
            <a:solidFill>
              <a:schemeClr val="accent1"/>
            </a:solidFill>
            <a:ln>
              <a:noFill/>
            </a:ln>
            <a:effectLst/>
          </c:spPr>
          <c:invertIfNegative val="0"/>
          <c:cat>
            <c:strRef>
              <c:f>'Objective 5'!$A$39:$A$44</c:f>
              <c:strCache>
                <c:ptCount val="6"/>
                <c:pt idx="0">
                  <c:v>Food and beverages</c:v>
                </c:pt>
                <c:pt idx="1">
                  <c:v>Housing</c:v>
                </c:pt>
                <c:pt idx="2">
                  <c:v>Pan, tobacco and intoxicants</c:v>
                </c:pt>
                <c:pt idx="3">
                  <c:v>Fuel and light</c:v>
                </c:pt>
                <c:pt idx="4">
                  <c:v>Miscellaneous</c:v>
                </c:pt>
                <c:pt idx="5">
                  <c:v>Clothing and footwear</c:v>
                </c:pt>
              </c:strCache>
            </c:strRef>
          </c:cat>
          <c:val>
            <c:numRef>
              <c:f>'Objective 5'!$B$39:$B$44</c:f>
              <c:numCache>
                <c:formatCode>General</c:formatCode>
                <c:ptCount val="6"/>
                <c:pt idx="0">
                  <c:v>9.1867615530791813E-2</c:v>
                </c:pt>
                <c:pt idx="1">
                  <c:v>0.12728295485589869</c:v>
                </c:pt>
                <c:pt idx="2">
                  <c:v>0.15649436195618496</c:v>
                </c:pt>
                <c:pt idx="3">
                  <c:v>0.11354468408955375</c:v>
                </c:pt>
                <c:pt idx="4">
                  <c:v>9.4322616051216765E-2</c:v>
                </c:pt>
                <c:pt idx="5">
                  <c:v>0.13293294638046874</c:v>
                </c:pt>
              </c:numCache>
            </c:numRef>
          </c:val>
          <c:extLst>
            <c:ext xmlns:c16="http://schemas.microsoft.com/office/drawing/2014/chart" uri="{C3380CC4-5D6E-409C-BE32-E72D297353CC}">
              <c16:uniqueId val="{00000000-F983-4611-AFBE-7B6B5BEDFE4D}"/>
            </c:ext>
          </c:extLst>
        </c:ser>
        <c:dLbls>
          <c:showLegendKey val="0"/>
          <c:showVal val="0"/>
          <c:showCatName val="0"/>
          <c:showSerName val="0"/>
          <c:showPercent val="0"/>
          <c:showBubbleSize val="0"/>
        </c:dLbls>
        <c:gapWidth val="182"/>
        <c:axId val="27272895"/>
        <c:axId val="15679055"/>
      </c:barChart>
      <c:catAx>
        <c:axId val="272728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79055"/>
        <c:crosses val="autoZero"/>
        <c:auto val="1"/>
        <c:lblAlgn val="ctr"/>
        <c:lblOffset val="100"/>
        <c:noMultiLvlLbl val="0"/>
      </c:catAx>
      <c:valAx>
        <c:axId val="156790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272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Contribution by Broad Category (May 2023)</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clustered"/>
        <c:varyColors val="0"/>
        <c:ser>
          <c:idx val="0"/>
          <c:order val="0"/>
          <c:spPr>
            <a:solidFill>
              <a:schemeClr val="accent1"/>
            </a:solidFill>
            <a:ln>
              <a:noFill/>
            </a:ln>
            <a:effectLst/>
          </c:spPr>
          <c:invertIfNegative val="0"/>
          <c:cat>
            <c:strRef>
              <c:f>'Objective 1'!$A$15:$A$20</c:f>
              <c:strCache>
                <c:ptCount val="6"/>
                <c:pt idx="0">
                  <c:v>Sum of Food and beverages</c:v>
                </c:pt>
                <c:pt idx="1">
                  <c:v>Sum of Miscellaneous</c:v>
                </c:pt>
                <c:pt idx="2">
                  <c:v>Sum of Pan, tobacco and intoxicants</c:v>
                </c:pt>
                <c:pt idx="3">
                  <c:v>Sum of Housing</c:v>
                </c:pt>
                <c:pt idx="4">
                  <c:v>Sum of Fuel and light</c:v>
                </c:pt>
                <c:pt idx="5">
                  <c:v>Sum of Clothing and footwear</c:v>
                </c:pt>
              </c:strCache>
            </c:strRef>
          </c:cat>
          <c:val>
            <c:numRef>
              <c:f>'Objective 1'!$B$15:$B$20</c:f>
              <c:numCache>
                <c:formatCode>0.00%</c:formatCode>
                <c:ptCount val="6"/>
                <c:pt idx="0">
                  <c:v>0.16275899672846236</c:v>
                </c:pt>
                <c:pt idx="1">
                  <c:v>0.15966921119592872</c:v>
                </c:pt>
                <c:pt idx="2">
                  <c:v>0.18266085059978188</c:v>
                </c:pt>
                <c:pt idx="3">
                  <c:v>0.15957833515085421</c:v>
                </c:pt>
                <c:pt idx="4">
                  <c:v>0.16612141039621955</c:v>
                </c:pt>
                <c:pt idx="5">
                  <c:v>0.16921119592875317</c:v>
                </c:pt>
              </c:numCache>
            </c:numRef>
          </c:val>
          <c:extLst>
            <c:ext xmlns:c16="http://schemas.microsoft.com/office/drawing/2014/chart" uri="{C3380CC4-5D6E-409C-BE32-E72D297353CC}">
              <c16:uniqueId val="{00000000-7E1E-46CE-AB54-712E76AA26D0}"/>
            </c:ext>
          </c:extLst>
        </c:ser>
        <c:dLbls>
          <c:showLegendKey val="0"/>
          <c:showVal val="0"/>
          <c:showCatName val="0"/>
          <c:showSerName val="0"/>
          <c:showPercent val="0"/>
          <c:showBubbleSize val="0"/>
        </c:dLbls>
        <c:gapWidth val="182"/>
        <c:axId val="1826948688"/>
        <c:axId val="1812618480"/>
      </c:barChart>
      <c:catAx>
        <c:axId val="182694868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Broad</a:t>
                </a:r>
                <a:r>
                  <a:rPr lang="en-IN" baseline="0"/>
                  <a:t> Category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2618480"/>
        <c:crosses val="autoZero"/>
        <c:auto val="1"/>
        <c:lblAlgn val="ctr"/>
        <c:lblOffset val="100"/>
        <c:noMultiLvlLbl val="0"/>
      </c:catAx>
      <c:valAx>
        <c:axId val="181261848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Contribution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948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Year-over-Year CPI Inflation Trend (2017–2023)</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strRef>
              <c:f>'Objective 2'!$B$1</c:f>
              <c:strCache>
                <c:ptCount val="1"/>
                <c:pt idx="0">
                  <c:v>Inflation Rate(y to y)</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'Objective 2'!$A$2:$A$8</c:f>
              <c:numCache>
                <c:formatCode>General</c:formatCode>
                <c:ptCount val="7"/>
                <c:pt idx="0">
                  <c:v>2017</c:v>
                </c:pt>
                <c:pt idx="1">
                  <c:v>2018</c:v>
                </c:pt>
                <c:pt idx="2">
                  <c:v>2019</c:v>
                </c:pt>
                <c:pt idx="3">
                  <c:v>2020</c:v>
                </c:pt>
                <c:pt idx="4">
                  <c:v>2021</c:v>
                </c:pt>
                <c:pt idx="5">
                  <c:v>2022</c:v>
                </c:pt>
                <c:pt idx="6">
                  <c:v>2023</c:v>
                </c:pt>
              </c:numCache>
            </c:numRef>
          </c:cat>
          <c:val>
            <c:numRef>
              <c:f>'Objective 2'!$B$2:$B$8</c:f>
              <c:numCache>
                <c:formatCode>0%</c:formatCode>
                <c:ptCount val="7"/>
                <c:pt idx="0">
                  <c:v>2.1772939346811911E-2</c:v>
                </c:pt>
                <c:pt idx="1">
                  <c:v>4.8706240487062444E-2</c:v>
                </c:pt>
                <c:pt idx="2">
                  <c:v>3.0478955007256808E-2</c:v>
                </c:pt>
                <c:pt idx="3">
                  <c:v>6.3380281690140844E-2</c:v>
                </c:pt>
                <c:pt idx="4">
                  <c:v>6.2251655629139112E-2</c:v>
                </c:pt>
                <c:pt idx="5">
                  <c:v>7.0448877805486171E-2</c:v>
                </c:pt>
                <c:pt idx="6">
                  <c:v>4.3098427489807842E-2</c:v>
                </c:pt>
              </c:numCache>
            </c:numRef>
          </c:val>
          <c:smooth val="0"/>
          <c:extLst>
            <c:ext xmlns:c16="http://schemas.microsoft.com/office/drawing/2014/chart" uri="{C3380CC4-5D6E-409C-BE32-E72D297353CC}">
              <c16:uniqueId val="{00000000-951F-44EE-A4B5-594EA622B965}"/>
            </c:ext>
          </c:extLst>
        </c:ser>
        <c:dLbls>
          <c:dLblPos val="t"/>
          <c:showLegendKey val="0"/>
          <c:showVal val="1"/>
          <c:showCatName val="0"/>
          <c:showSerName val="0"/>
          <c:showPercent val="0"/>
          <c:showBubbleSize val="0"/>
        </c:dLbls>
        <c:marker val="1"/>
        <c:smooth val="0"/>
        <c:axId val="848856159"/>
        <c:axId val="1675672815"/>
      </c:lineChart>
      <c:catAx>
        <c:axId val="8488561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5672815"/>
        <c:crosses val="autoZero"/>
        <c:auto val="1"/>
        <c:lblAlgn val="ctr"/>
        <c:lblOffset val="100"/>
        <c:noMultiLvlLbl val="0"/>
      </c:catAx>
      <c:valAx>
        <c:axId val="16756728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aseline="0"/>
                  <a:t> Y to Y Inflation (%)</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8856159"/>
        <c:crosses val="autoZero"/>
        <c:crossBetween val="between"/>
      </c:valAx>
      <c:spPr>
        <a:noFill/>
        <a:ln>
          <a:noFill/>
        </a:ln>
        <a:effectLst/>
      </c:spPr>
    </c:plotArea>
    <c:legend>
      <c:legendPos val="b"/>
      <c:layout>
        <c:manualLayout>
          <c:xMode val="edge"/>
          <c:yMode val="edge"/>
          <c:x val="0.22684951881014873"/>
          <c:y val="0.89409667541557303"/>
          <c:w val="0.63518963254593186"/>
          <c:h val="7.812554680664916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Food &amp; Beverages MoM Inflation (Jun 2022–May 2023)</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'Objective 3'!$E$2</c:f>
              <c:strCache>
                <c:ptCount val="1"/>
                <c:pt idx="0">
                  <c:v>M to M Inflation Rate(%)</c:v>
                </c:pt>
              </c:strCache>
            </c:strRef>
          </c:tx>
          <c:spPr>
            <a:solidFill>
              <a:schemeClr val="accent1"/>
            </a:solidFill>
            <a:ln>
              <a:noFill/>
            </a:ln>
            <a:effectLst/>
          </c:spPr>
          <c:invertIfNegative val="0"/>
          <c:cat>
            <c:strRef>
              <c:f>'Objective 3'!$A$3:$A$14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'Objective 3'!$E$3:$E$14</c:f>
              <c:numCache>
                <c:formatCode>0.00%</c:formatCode>
                <c:ptCount val="12"/>
                <c:pt idx="0">
                  <c:v>4.5480386583284984E-3</c:v>
                </c:pt>
                <c:pt idx="1">
                  <c:v>1.6977928692700134E-3</c:v>
                </c:pt>
                <c:pt idx="2">
                  <c:v>0</c:v>
                </c:pt>
                <c:pt idx="3">
                  <c:v>5.0847457627118961E-3</c:v>
                </c:pt>
                <c:pt idx="4">
                  <c:v>6.7453625632377095E-3</c:v>
                </c:pt>
                <c:pt idx="5">
                  <c:v>-2.3450586264656553E-2</c:v>
                </c:pt>
                <c:pt idx="6">
                  <c:v>5.7175528873638828E-4</c:v>
                </c:pt>
                <c:pt idx="7">
                  <c:v>7.4285714285714935E-3</c:v>
                </c:pt>
                <c:pt idx="8" formatCode="0%">
                  <c:v>8.5082246171298923E-3</c:v>
                </c:pt>
                <c:pt idx="9">
                  <c:v>1.0123734533183255E-2</c:v>
                </c:pt>
                <c:pt idx="10">
                  <c:v>-7.2383073496658295E-3</c:v>
                </c:pt>
                <c:pt idx="11">
                  <c:v>-1.3460459899046581E-2</c:v>
                </c:pt>
              </c:numCache>
            </c:numRef>
          </c:val>
          <c:extLst>
            <c:ext xmlns:c16="http://schemas.microsoft.com/office/drawing/2014/chart" uri="{C3380CC4-5D6E-409C-BE32-E72D297353CC}">
              <c16:uniqueId val="{00000000-CCFA-4DBE-A5C9-EA5E7705E5FE}"/>
            </c:ext>
          </c:extLst>
        </c:ser>
        <c:dLbls>
          <c:showLegendKey val="0"/>
          <c:showVal val="0"/>
          <c:showCatName val="0"/>
          <c:showSerName val="0"/>
          <c:showPercent val="0"/>
          <c:showBubbleSize val="0"/>
        </c:dLbls>
        <c:gapWidth val="219"/>
        <c:overlap val="-27"/>
        <c:axId val="853913071"/>
        <c:axId val="830558959"/>
      </c:barChart>
      <c:catAx>
        <c:axId val="853913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558959"/>
        <c:crosses val="autoZero"/>
        <c:auto val="1"/>
        <c:lblAlgn val="ctr"/>
        <c:lblOffset val="100"/>
        <c:noMultiLvlLbl val="0"/>
      </c:catAx>
      <c:valAx>
        <c:axId val="83055895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3913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Absolute Change in Food CPI Index (May 2022–May 2023)</a:t>
            </a:r>
            <a:endParaRPr lang="en-IN" baseline="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clustered"/>
        <c:varyColors val="0"/>
        <c:ser>
          <c:idx val="0"/>
          <c:order val="0"/>
          <c:tx>
            <c:strRef>
              <c:f>'Objective 3'!$D$21</c:f>
              <c:strCache>
                <c:ptCount val="1"/>
                <c:pt idx="0">
                  <c:v>Absolute Change</c:v>
                </c:pt>
              </c:strCache>
            </c:strRef>
          </c:tx>
          <c:spPr>
            <a:solidFill>
              <a:schemeClr val="accent1"/>
            </a:solidFill>
            <a:ln>
              <a:noFill/>
            </a:ln>
            <a:effectLst/>
          </c:spPr>
          <c:invertIfNegative val="0"/>
          <c:cat>
            <c:strRef>
              <c:f>'Objective 3'!$A$22:$A$33</c:f>
              <c:strCache>
                <c:ptCount val="12"/>
                <c:pt idx="0">
                  <c:v>Careals &amp; products</c:v>
                </c:pt>
                <c:pt idx="1">
                  <c:v>Meat &amp; fish</c:v>
                </c:pt>
                <c:pt idx="2">
                  <c:v>Egg</c:v>
                </c:pt>
                <c:pt idx="3">
                  <c:v>Milk &amp; products</c:v>
                </c:pt>
                <c:pt idx="4">
                  <c:v>oils and fats</c:v>
                </c:pt>
                <c:pt idx="5">
                  <c:v>Fruits</c:v>
                </c:pt>
                <c:pt idx="6">
                  <c:v>Vegetables</c:v>
                </c:pt>
                <c:pt idx="7">
                  <c:v>Pulses &amp; products</c:v>
                </c:pt>
                <c:pt idx="8">
                  <c:v>Sugar &amp; confectionery</c:v>
                </c:pt>
                <c:pt idx="9">
                  <c:v>Spices</c:v>
                </c:pt>
                <c:pt idx="10">
                  <c:v>Non-alcoholic beverages</c:v>
                </c:pt>
                <c:pt idx="11">
                  <c:v>Prepared meals, snacks, sweets etc.</c:v>
                </c:pt>
              </c:strCache>
            </c:strRef>
          </c:cat>
          <c:val>
            <c:numRef>
              <c:f>'Objective 3'!$D$22:$D$33</c:f>
              <c:numCache>
                <c:formatCode>0.00</c:formatCode>
                <c:ptCount val="12"/>
                <c:pt idx="0">
                  <c:v>19.599999999999994</c:v>
                </c:pt>
                <c:pt idx="1">
                  <c:v>-2.6999999999999886</c:v>
                </c:pt>
                <c:pt idx="2">
                  <c:v>10.799999999999983</c:v>
                </c:pt>
                <c:pt idx="3">
                  <c:v>14.599999999999994</c:v>
                </c:pt>
                <c:pt idx="4">
                  <c:v>-32.400000000000006</c:v>
                </c:pt>
                <c:pt idx="5">
                  <c:v>1.1999999999999886</c:v>
                </c:pt>
                <c:pt idx="6">
                  <c:v>-13.900000000000006</c:v>
                </c:pt>
                <c:pt idx="7">
                  <c:v>10.900000000000006</c:v>
                </c:pt>
                <c:pt idx="8">
                  <c:v>3</c:v>
                </c:pt>
                <c:pt idx="9">
                  <c:v>33.099999999999994</c:v>
                </c:pt>
                <c:pt idx="10">
                  <c:v>6.3000000000000114</c:v>
                </c:pt>
                <c:pt idx="11">
                  <c:v>11.699999999999989</c:v>
                </c:pt>
              </c:numCache>
            </c:numRef>
          </c:val>
          <c:extLst>
            <c:ext xmlns:c16="http://schemas.microsoft.com/office/drawing/2014/chart" uri="{C3380CC4-5D6E-409C-BE32-E72D297353CC}">
              <c16:uniqueId val="{00000000-EE3B-4F62-B5D2-099D29A62247}"/>
            </c:ext>
          </c:extLst>
        </c:ser>
        <c:dLbls>
          <c:showLegendKey val="0"/>
          <c:showVal val="0"/>
          <c:showCatName val="0"/>
          <c:showSerName val="0"/>
          <c:showPercent val="0"/>
          <c:showBubbleSize val="0"/>
        </c:dLbls>
        <c:gapWidth val="182"/>
        <c:axId val="313682623"/>
        <c:axId val="830509519"/>
      </c:barChart>
      <c:catAx>
        <c:axId val="31368262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Food</a:t>
                </a:r>
                <a:r>
                  <a:rPr lang="en-IN" baseline="0"/>
                  <a:t> Category</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509519"/>
        <c:crosses val="autoZero"/>
        <c:auto val="1"/>
        <c:lblAlgn val="ctr"/>
        <c:lblOffset val="100"/>
        <c:noMultiLvlLbl val="0"/>
      </c:catAx>
      <c:valAx>
        <c:axId val="83050951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Absolute</a:t>
                </a:r>
                <a:r>
                  <a:rPr lang="en-IN" baseline="0"/>
                  <a:t> Change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3682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Before</a:t>
            </a:r>
            <a:r>
              <a:rPr lang="en-US" baseline="0"/>
              <a:t> and After Y to Y Inflation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'Objective 4'!$E$5</c:f>
              <c:strCache>
                <c:ptCount val="1"/>
                <c:pt idx="0">
                  <c:v>Y to Y Inflation</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'Objective 4'!$C$6:$C$13</c:f>
              <c:strCache>
                <c:ptCount val="8"/>
                <c:pt idx="0">
                  <c:v>March-2016</c:v>
                </c:pt>
                <c:pt idx="1">
                  <c:v>March-2017</c:v>
                </c:pt>
                <c:pt idx="2">
                  <c:v>March-2018</c:v>
                </c:pt>
                <c:pt idx="3">
                  <c:v>March-2019</c:v>
                </c:pt>
                <c:pt idx="4">
                  <c:v>March-2020</c:v>
                </c:pt>
                <c:pt idx="5">
                  <c:v>March-2021</c:v>
                </c:pt>
                <c:pt idx="6">
                  <c:v>March-2022</c:v>
                </c:pt>
                <c:pt idx="7">
                  <c:v>March-2023</c:v>
                </c:pt>
              </c:strCache>
            </c:strRef>
          </c:cat>
          <c:val>
            <c:numRef>
              <c:f>'Objective 4'!$E$6:$E$13</c:f>
              <c:numCache>
                <c:formatCode>0%</c:formatCode>
                <c:ptCount val="8"/>
                <c:pt idx="1">
                  <c:v>3.8888888888888931E-2</c:v>
                </c:pt>
                <c:pt idx="2">
                  <c:v>4.278074866310156E-2</c:v>
                </c:pt>
                <c:pt idx="3">
                  <c:v>2.8571428571428612E-2</c:v>
                </c:pt>
                <c:pt idx="4">
                  <c:v>5.840455840455832E-2</c:v>
                </c:pt>
                <c:pt idx="5">
                  <c:v>5.5181695827725558E-2</c:v>
                </c:pt>
                <c:pt idx="6">
                  <c:v>6.9515306122448828E-2</c:v>
                </c:pt>
                <c:pt idx="7">
                  <c:v>5.6648777579010143E-2</c:v>
                </c:pt>
              </c:numCache>
            </c:numRef>
          </c:val>
          <c:smooth val="0"/>
          <c:extLst>
            <c:ext xmlns:c16="http://schemas.microsoft.com/office/drawing/2014/chart" uri="{C3380CC4-5D6E-409C-BE32-E72D297353CC}">
              <c16:uniqueId val="{00000000-3FA4-4382-A439-944985E6ADB6}"/>
            </c:ext>
          </c:extLst>
        </c:ser>
        <c:dLbls>
          <c:dLblPos val="t"/>
          <c:showLegendKey val="0"/>
          <c:showVal val="1"/>
          <c:showCatName val="0"/>
          <c:showSerName val="0"/>
          <c:showPercent val="0"/>
          <c:showBubbleSize val="0"/>
        </c:dLbls>
        <c:smooth val="0"/>
        <c:axId val="1451806752"/>
        <c:axId val="1888610544"/>
      </c:lineChart>
      <c:catAx>
        <c:axId val="14518067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Segment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8610544"/>
        <c:crosses val="autoZero"/>
        <c:auto val="1"/>
        <c:lblAlgn val="ctr"/>
        <c:lblOffset val="100"/>
        <c:noMultiLvlLbl val="0"/>
      </c:catAx>
      <c:valAx>
        <c:axId val="18886105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a:t>
                </a:r>
                <a:r>
                  <a:rPr lang="en-IN" baseline="0"/>
                  <a:t> to Y Inflation</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806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[CPI Inflation Project.xlsx]Objective 4!PivotTable3</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Essentials</a:t>
            </a:r>
            <a:r>
              <a:rPr lang="en-IN" baseline="0"/>
              <a:t> Things Changes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'Objective 4'!$I$5:$I$7</c:f>
              <c:strCache>
                <c:ptCount val="1"/>
                <c:pt idx="0">
                  <c:v>March - Sum of Health</c:v>
                </c:pt>
              </c:strCache>
            </c:strRef>
          </c:tx>
          <c:spPr>
            <a:solidFill>
              <a:schemeClr val="accent1"/>
            </a:solidFill>
            <a:ln>
              <a:noFill/>
            </a:ln>
            <a:effectLst/>
          </c:spPr>
          <c:invertIfNegative val="0"/>
          <c:cat>
            <c:strRef>
              <c:f>'Objective 4'!$H$8:$H$16</c:f>
              <c:strCache>
                <c:ptCount val="8"/>
                <c:pt idx="0">
                  <c:v>2016</c:v>
                </c:pt>
                <c:pt idx="1">
                  <c:v>2017</c:v>
                </c:pt>
                <c:pt idx="2">
                  <c:v>2018</c:v>
                </c:pt>
                <c:pt idx="3">
                  <c:v>2019</c:v>
                </c:pt>
                <c:pt idx="4">
                  <c:v>2020</c:v>
                </c:pt>
                <c:pt idx="5">
                  <c:v>2021</c:v>
                </c:pt>
                <c:pt idx="6">
                  <c:v>2022</c:v>
                </c:pt>
                <c:pt idx="7">
                  <c:v>2023</c:v>
                </c:pt>
              </c:strCache>
            </c:strRef>
          </c:cat>
          <c:val>
            <c:numRef>
              <c:f>'Objective 4'!$I$8:$I$16</c:f>
              <c:numCache>
                <c:formatCode>General</c:formatCode>
                <c:ptCount val="8"/>
                <c:pt idx="0">
                  <c:v>122.9</c:v>
                </c:pt>
                <c:pt idx="1">
                  <c:v>127.8</c:v>
                </c:pt>
                <c:pt idx="2">
                  <c:v>134.30000000000001</c:v>
                </c:pt>
                <c:pt idx="3">
                  <c:v>146.19999999999999</c:v>
                </c:pt>
                <c:pt idx="4">
                  <c:v>152.30000000000001</c:v>
                </c:pt>
                <c:pt idx="5">
                  <c:v>161.69999999999999</c:v>
                </c:pt>
                <c:pt idx="6">
                  <c:v>173</c:v>
                </c:pt>
                <c:pt idx="7">
                  <c:v>184.4</c:v>
                </c:pt>
              </c:numCache>
            </c:numRef>
          </c:val>
          <c:extLst>
            <c:ext xmlns:c16="http://schemas.microsoft.com/office/drawing/2014/chart" uri="{C3380CC4-5D6E-409C-BE32-E72D297353CC}">
              <c16:uniqueId val="{00000000-9858-4DA8-AD9C-F8F14B911077}"/>
            </c:ext>
          </c:extLst>
        </c:ser>
        <c:ser>
          <c:idx val="1"/>
          <c:order val="1"/>
          <c:tx>
            <c:strRef>
              <c:f>'Objective 4'!$J$5:$J$7</c:f>
              <c:strCache>
                <c:ptCount val="1"/>
                <c:pt idx="0">
                  <c:v>March - Sum of Fuel and light</c:v>
                </c:pt>
              </c:strCache>
            </c:strRef>
          </c:tx>
          <c:spPr>
            <a:solidFill>
              <a:schemeClr val="accent2"/>
            </a:solidFill>
            <a:ln>
              <a:noFill/>
            </a:ln>
            <a:effectLst/>
          </c:spPr>
          <c:invertIfNegative val="0"/>
          <c:cat>
            <c:strRef>
              <c:f>'Objective 4'!$H$8:$H$16</c:f>
              <c:strCache>
                <c:ptCount val="8"/>
                <c:pt idx="0">
                  <c:v>2016</c:v>
                </c:pt>
                <c:pt idx="1">
                  <c:v>2017</c:v>
                </c:pt>
                <c:pt idx="2">
                  <c:v>2018</c:v>
                </c:pt>
                <c:pt idx="3">
                  <c:v>2019</c:v>
                </c:pt>
                <c:pt idx="4">
                  <c:v>2020</c:v>
                </c:pt>
                <c:pt idx="5">
                  <c:v>2021</c:v>
                </c:pt>
                <c:pt idx="6">
                  <c:v>2022</c:v>
                </c:pt>
                <c:pt idx="7">
                  <c:v>2023</c:v>
                </c:pt>
              </c:strCache>
            </c:strRef>
          </c:cat>
          <c:val>
            <c:numRef>
              <c:f>'Objective 4'!$J$8:$J$16</c:f>
              <c:numCache>
                <c:formatCode>General</c:formatCode>
                <c:ptCount val="8"/>
                <c:pt idx="0">
                  <c:v>122.4</c:v>
                </c:pt>
                <c:pt idx="1">
                  <c:v>129.1</c:v>
                </c:pt>
                <c:pt idx="2">
                  <c:v>136.5</c:v>
                </c:pt>
                <c:pt idx="3">
                  <c:v>139.69999999999999</c:v>
                </c:pt>
                <c:pt idx="4">
                  <c:v>148.9</c:v>
                </c:pt>
                <c:pt idx="5">
                  <c:v>155.5</c:v>
                </c:pt>
                <c:pt idx="6">
                  <c:v>167.2</c:v>
                </c:pt>
                <c:pt idx="7">
                  <c:v>181.9</c:v>
                </c:pt>
              </c:numCache>
            </c:numRef>
          </c:val>
          <c:extLst>
            <c:ext xmlns:c16="http://schemas.microsoft.com/office/drawing/2014/chart" uri="{C3380CC4-5D6E-409C-BE32-E72D297353CC}">
              <c16:uniqueId val="{00000001-9858-4DA8-AD9C-F8F14B911077}"/>
            </c:ext>
          </c:extLst>
        </c:ser>
        <c:ser>
          <c:idx val="2"/>
          <c:order val="2"/>
          <c:tx>
            <c:strRef>
              <c:f>'Objective 4'!$K$5:$K$7</c:f>
              <c:strCache>
                <c:ptCount val="1"/>
                <c:pt idx="0">
                  <c:v>March - Sum of Food and beverages</c:v>
                </c:pt>
              </c:strCache>
            </c:strRef>
          </c:tx>
          <c:spPr>
            <a:solidFill>
              <a:schemeClr val="accent3"/>
            </a:solidFill>
            <a:ln>
              <a:noFill/>
            </a:ln>
            <a:effectLst/>
          </c:spPr>
          <c:invertIfNegative val="0"/>
          <c:cat>
            <c:strRef>
              <c:f>'Objective 4'!$H$8:$H$16</c:f>
              <c:strCache>
                <c:ptCount val="8"/>
                <c:pt idx="0">
                  <c:v>2016</c:v>
                </c:pt>
                <c:pt idx="1">
                  <c:v>2017</c:v>
                </c:pt>
                <c:pt idx="2">
                  <c:v>2018</c:v>
                </c:pt>
                <c:pt idx="3">
                  <c:v>2019</c:v>
                </c:pt>
                <c:pt idx="4">
                  <c:v>2020</c:v>
                </c:pt>
                <c:pt idx="5">
                  <c:v>2021</c:v>
                </c:pt>
                <c:pt idx="6">
                  <c:v>2022</c:v>
                </c:pt>
                <c:pt idx="7">
                  <c:v>2023</c:v>
                </c:pt>
              </c:strCache>
            </c:strRef>
          </c:cat>
          <c:val>
            <c:numRef>
              <c:f>'Objective 4'!$K$8:$K$16</c:f>
              <c:numCache>
                <c:formatCode>General</c:formatCode>
                <c:ptCount val="8"/>
                <c:pt idx="0">
                  <c:v>129.80000000000001</c:v>
                </c:pt>
                <c:pt idx="1">
                  <c:v>133.1</c:v>
                </c:pt>
                <c:pt idx="2">
                  <c:v>137.19999999999999</c:v>
                </c:pt>
                <c:pt idx="3">
                  <c:v>138.1</c:v>
                </c:pt>
                <c:pt idx="4">
                  <c:v>148.9</c:v>
                </c:pt>
                <c:pt idx="5">
                  <c:v>156.69999999999999</c:v>
                </c:pt>
                <c:pt idx="6">
                  <c:v>168.4</c:v>
                </c:pt>
                <c:pt idx="7">
                  <c:v>177</c:v>
                </c:pt>
              </c:numCache>
            </c:numRef>
          </c:val>
          <c:extLst>
            <c:ext xmlns:c16="http://schemas.microsoft.com/office/drawing/2014/chart" uri="{C3380CC4-5D6E-409C-BE32-E72D297353CC}">
              <c16:uniqueId val="{00000002-9858-4DA8-AD9C-F8F14B911077}"/>
            </c:ext>
          </c:extLst>
        </c:ser>
        <c:dLbls>
          <c:showLegendKey val="0"/>
          <c:showVal val="0"/>
          <c:showCatName val="0"/>
          <c:showSerName val="0"/>
          <c:showPercent val="0"/>
          <c:showBubbleSize val="0"/>
        </c:dLbls>
        <c:gapWidth val="219"/>
        <c:overlap val="-27"/>
        <c:axId val="1180216864"/>
        <c:axId val="1888700784"/>
      </c:barChart>
      <c:catAx>
        <c:axId val="11802168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8700784"/>
        <c:crosses val="autoZero"/>
        <c:auto val="1"/>
        <c:lblAlgn val="ctr"/>
        <c:lblOffset val="100"/>
        <c:noMultiLvlLbl val="0"/>
      </c:catAx>
      <c:valAx>
        <c:axId val="18887007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CPI</a:t>
                </a:r>
                <a:r>
                  <a:rPr lang="en-IN" baseline="0"/>
                  <a:t> Index</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216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4650123294479484"/>
          <c:y val="0.15671809167021661"/>
          <c:w val="0.70941333767658221"/>
          <c:h val="0.77552239803662248"/>
        </c:manualLayout>
      </c:layout>
      <c:barChart>
        <c:barDir val="bar"/>
        <c:grouping val="clustered"/>
        <c:varyColors val="0"/>
        <c:ser>
          <c:idx val="0"/>
          <c:order val="0"/>
          <c:tx>
            <c:strRef>
              <c:f>'Objective 5'!$B$38</c:f>
              <c:strCache>
                <c:ptCount val="1"/>
                <c:pt idx="0">
                  <c:v>Correlation with Crude Oil MoM</c:v>
                </c:pt>
              </c:strCache>
            </c:strRef>
          </c:tx>
          <c:spPr>
            <a:solidFill>
              <a:schemeClr val="accent1"/>
            </a:solidFill>
            <a:ln>
              <a:noFill/>
            </a:ln>
            <a:effectLst/>
          </c:spPr>
          <c:invertIfNegative val="0"/>
          <c:cat>
            <c:strRef>
              <c:f>'Objective 5'!$A$39:$A$44</c:f>
              <c:strCache>
                <c:ptCount val="6"/>
                <c:pt idx="0">
                  <c:v>Food and beverages</c:v>
                </c:pt>
                <c:pt idx="1">
                  <c:v>Housing</c:v>
                </c:pt>
                <c:pt idx="2">
                  <c:v>Pan, tobacco and intoxicants</c:v>
                </c:pt>
                <c:pt idx="3">
                  <c:v>Fuel and light</c:v>
                </c:pt>
                <c:pt idx="4">
                  <c:v>Miscellaneous</c:v>
                </c:pt>
                <c:pt idx="5">
                  <c:v>Clothing and footwear</c:v>
                </c:pt>
              </c:strCache>
            </c:strRef>
          </c:cat>
          <c:val>
            <c:numRef>
              <c:f>'Objective 5'!$B$39:$B$44</c:f>
              <c:numCache>
                <c:formatCode>General</c:formatCode>
                <c:ptCount val="6"/>
                <c:pt idx="0">
                  <c:v>9.1867615530791813E-2</c:v>
                </c:pt>
                <c:pt idx="1">
                  <c:v>0.12728295485589869</c:v>
                </c:pt>
                <c:pt idx="2">
                  <c:v>0.15649436195618496</c:v>
                </c:pt>
                <c:pt idx="3">
                  <c:v>0.11354468408955375</c:v>
                </c:pt>
                <c:pt idx="4">
                  <c:v>9.4322616051216765E-2</c:v>
                </c:pt>
                <c:pt idx="5">
                  <c:v>0.13293294638046874</c:v>
                </c:pt>
              </c:numCache>
            </c:numRef>
          </c:val>
          <c:extLst>
            <c:ext xmlns:c16="http://schemas.microsoft.com/office/drawing/2014/chart" uri="{C3380CC4-5D6E-409C-BE32-E72D297353CC}">
              <c16:uniqueId val="{00000000-F619-4297-B5FC-F7BAFDA42DD1}"/>
            </c:ext>
          </c:extLst>
        </c:ser>
        <c:dLbls>
          <c:showLegendKey val="0"/>
          <c:showVal val="0"/>
          <c:showCatName val="0"/>
          <c:showSerName val="0"/>
          <c:showPercent val="0"/>
          <c:showBubbleSize val="0"/>
        </c:dLbls>
        <c:gapWidth val="182"/>
        <c:axId val="27272895"/>
        <c:axId val="15679055"/>
      </c:barChart>
      <c:catAx>
        <c:axId val="272728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79055"/>
        <c:crosses val="autoZero"/>
        <c:auto val="1"/>
        <c:lblAlgn val="ctr"/>
        <c:lblOffset val="100"/>
        <c:noMultiLvlLbl val="0"/>
      </c:catAx>
      <c:valAx>
        <c:axId val="156790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272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3</xdr:col>
      <xdr:colOff>541020</xdr:colOff>
      <xdr:row>1</xdr:row>
      <xdr:rowOff>175260</xdr:rowOff>
    </xdr:from>
    <xdr:to>
      <xdr:col>7</xdr:col>
      <xdr:colOff>746760</xdr:colOff>
      <xdr:row>21</xdr:row>
      <xdr:rowOff>91440</xdr:rowOff>
    </xdr:to>
    <xdr:graphicFrame macro="">
      <xdr:nvGraphicFramePr>
        <xdr:cNvPr id="2" name="Chart 1">
          <a:extLst>
            <a:ext uri="{FF2B5EF4-FFF2-40B4-BE49-F238E27FC236}">
              <a16:creationId xmlns:a16="http://schemas.microsoft.com/office/drawing/2014/main" id="{17C6390D-5D3F-110F-0CCD-3151041055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1242060</xdr:colOff>
      <xdr:row>1</xdr:row>
      <xdr:rowOff>91440</xdr:rowOff>
    </xdr:from>
    <xdr:to>
      <xdr:col>10</xdr:col>
      <xdr:colOff>297180</xdr:colOff>
      <xdr:row>20</xdr:row>
      <xdr:rowOff>167640</xdr:rowOff>
    </xdr:to>
    <xdr:graphicFrame macro="">
      <xdr:nvGraphicFramePr>
        <xdr:cNvPr id="8" name="Chart 7">
          <a:extLst>
            <a:ext uri="{FF2B5EF4-FFF2-40B4-BE49-F238E27FC236}">
              <a16:creationId xmlns:a16="http://schemas.microsoft.com/office/drawing/2014/main" id="{160116CE-9C48-27C2-3C9C-4C00A31744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243063</xdr:colOff>
      <xdr:row>19</xdr:row>
      <xdr:rowOff>94007</xdr:rowOff>
    </xdr:from>
    <xdr:to>
      <xdr:col>11</xdr:col>
      <xdr:colOff>275720</xdr:colOff>
      <xdr:row>36</xdr:row>
      <xdr:rowOff>147269</xdr:rowOff>
    </xdr:to>
    <xdr:graphicFrame macro="">
      <xdr:nvGraphicFramePr>
        <xdr:cNvPr id="6" name="Chart 5">
          <a:extLst>
            <a:ext uri="{FF2B5EF4-FFF2-40B4-BE49-F238E27FC236}">
              <a16:creationId xmlns:a16="http://schemas.microsoft.com/office/drawing/2014/main" id="{16B6941E-F582-2144-3A14-E34556BDA8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699795</xdr:colOff>
      <xdr:row>1</xdr:row>
      <xdr:rowOff>94085</xdr:rowOff>
    </xdr:from>
    <xdr:to>
      <xdr:col>12</xdr:col>
      <xdr:colOff>256591</xdr:colOff>
      <xdr:row>16</xdr:row>
      <xdr:rowOff>30326</xdr:rowOff>
    </xdr:to>
    <xdr:graphicFrame macro="">
      <xdr:nvGraphicFramePr>
        <xdr:cNvPr id="7" name="Chart 6">
          <a:extLst>
            <a:ext uri="{FF2B5EF4-FFF2-40B4-BE49-F238E27FC236}">
              <a16:creationId xmlns:a16="http://schemas.microsoft.com/office/drawing/2014/main" id="{24A449EA-34B4-C0CB-2E18-04B41DAE12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137160</xdr:colOff>
      <xdr:row>14</xdr:row>
      <xdr:rowOff>163830</xdr:rowOff>
    </xdr:from>
    <xdr:to>
      <xdr:col>3</xdr:col>
      <xdr:colOff>1021080</xdr:colOff>
      <xdr:row>29</xdr:row>
      <xdr:rowOff>163830</xdr:rowOff>
    </xdr:to>
    <xdr:graphicFrame macro="">
      <xdr:nvGraphicFramePr>
        <xdr:cNvPr id="3" name="Chart 2">
          <a:extLst>
            <a:ext uri="{FF2B5EF4-FFF2-40B4-BE49-F238E27FC236}">
              <a16:creationId xmlns:a16="http://schemas.microsoft.com/office/drawing/2014/main" id="{E35413B5-E598-3E3B-4C78-BFBEC03A9A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463041</xdr:colOff>
      <xdr:row>16</xdr:row>
      <xdr:rowOff>113801</xdr:rowOff>
    </xdr:from>
    <xdr:to>
      <xdr:col>2</xdr:col>
      <xdr:colOff>478281</xdr:colOff>
      <xdr:row>24</xdr:row>
      <xdr:rowOff>68081</xdr:rowOff>
    </xdr:to>
    <xdr:cxnSp macro="">
      <xdr:nvCxnSpPr>
        <xdr:cNvPr id="5" name="Straight Connector 4">
          <a:extLst>
            <a:ext uri="{FF2B5EF4-FFF2-40B4-BE49-F238E27FC236}">
              <a16:creationId xmlns:a16="http://schemas.microsoft.com/office/drawing/2014/main" id="{6F49F51B-FC5C-92D3-B192-B58B608A5AB2}"/>
            </a:ext>
          </a:extLst>
        </xdr:cNvPr>
        <xdr:cNvCxnSpPr/>
      </xdr:nvCxnSpPr>
      <xdr:spPr>
        <a:xfrm flipH="1">
          <a:off x="2855863" y="3083465"/>
          <a:ext cx="15240" cy="1435551"/>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320040</xdr:colOff>
      <xdr:row>17</xdr:row>
      <xdr:rowOff>72390</xdr:rowOff>
    </xdr:from>
    <xdr:to>
      <xdr:col>12</xdr:col>
      <xdr:colOff>327660</xdr:colOff>
      <xdr:row>32</xdr:row>
      <xdr:rowOff>72390</xdr:rowOff>
    </xdr:to>
    <xdr:graphicFrame macro="">
      <xdr:nvGraphicFramePr>
        <xdr:cNvPr id="7" name="Chart 6">
          <a:extLst>
            <a:ext uri="{FF2B5EF4-FFF2-40B4-BE49-F238E27FC236}">
              <a16:creationId xmlns:a16="http://schemas.microsoft.com/office/drawing/2014/main" id="{8C28E3EC-95DC-463E-0BFC-017DB46E60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611094</xdr:colOff>
      <xdr:row>36</xdr:row>
      <xdr:rowOff>29455</xdr:rowOff>
    </xdr:from>
    <xdr:to>
      <xdr:col>7</xdr:col>
      <xdr:colOff>654639</xdr:colOff>
      <xdr:row>51</xdr:row>
      <xdr:rowOff>102027</xdr:rowOff>
    </xdr:to>
    <xdr:graphicFrame macro="">
      <xdr:nvGraphicFramePr>
        <xdr:cNvPr id="2" name="Chart 1">
          <a:extLst>
            <a:ext uri="{FF2B5EF4-FFF2-40B4-BE49-F238E27FC236}">
              <a16:creationId xmlns:a16="http://schemas.microsoft.com/office/drawing/2014/main" id="{80909806-8C2F-338A-6EBB-94CD5384E6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60960</xdr:colOff>
      <xdr:row>5</xdr:row>
      <xdr:rowOff>144780</xdr:rowOff>
    </xdr:from>
    <xdr:to>
      <xdr:col>10</xdr:col>
      <xdr:colOff>182880</xdr:colOff>
      <xdr:row>24</xdr:row>
      <xdr:rowOff>38100</xdr:rowOff>
    </xdr:to>
    <xdr:graphicFrame macro="">
      <xdr:nvGraphicFramePr>
        <xdr:cNvPr id="2" name="Chart 1">
          <a:extLst>
            <a:ext uri="{FF2B5EF4-FFF2-40B4-BE49-F238E27FC236}">
              <a16:creationId xmlns:a16="http://schemas.microsoft.com/office/drawing/2014/main" id="{F57CA7E3-A8CB-4604-895A-8AA9642582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533400</xdr:colOff>
      <xdr:row>5</xdr:row>
      <xdr:rowOff>121920</xdr:rowOff>
    </xdr:from>
    <xdr:to>
      <xdr:col>13</xdr:col>
      <xdr:colOff>2034540</xdr:colOff>
      <xdr:row>24</xdr:row>
      <xdr:rowOff>7620</xdr:rowOff>
    </xdr:to>
    <xdr:graphicFrame macro="">
      <xdr:nvGraphicFramePr>
        <xdr:cNvPr id="3" name="Chart 2">
          <a:extLst>
            <a:ext uri="{FF2B5EF4-FFF2-40B4-BE49-F238E27FC236}">
              <a16:creationId xmlns:a16="http://schemas.microsoft.com/office/drawing/2014/main" id="{CF2D44B3-A1D3-4359-8990-F81ED5F56F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266700</xdr:colOff>
      <xdr:row>37</xdr:row>
      <xdr:rowOff>106680</xdr:rowOff>
    </xdr:from>
    <xdr:to>
      <xdr:col>7</xdr:col>
      <xdr:colOff>571500</xdr:colOff>
      <xdr:row>52</xdr:row>
      <xdr:rowOff>106680</xdr:rowOff>
    </xdr:to>
    <xdr:graphicFrame macro="">
      <xdr:nvGraphicFramePr>
        <xdr:cNvPr id="4" name="Chart 3">
          <a:extLst>
            <a:ext uri="{FF2B5EF4-FFF2-40B4-BE49-F238E27FC236}">
              <a16:creationId xmlns:a16="http://schemas.microsoft.com/office/drawing/2014/main" id="{45F67762-ACB4-437D-9160-B18220F80E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396240</xdr:colOff>
      <xdr:row>36</xdr:row>
      <xdr:rowOff>167640</xdr:rowOff>
    </xdr:from>
    <xdr:to>
      <xdr:col>13</xdr:col>
      <xdr:colOff>2042160</xdr:colOff>
      <xdr:row>52</xdr:row>
      <xdr:rowOff>60960</xdr:rowOff>
    </xdr:to>
    <xdr:graphicFrame macro="">
      <xdr:nvGraphicFramePr>
        <xdr:cNvPr id="5" name="Chart 4">
          <a:extLst>
            <a:ext uri="{FF2B5EF4-FFF2-40B4-BE49-F238E27FC236}">
              <a16:creationId xmlns:a16="http://schemas.microsoft.com/office/drawing/2014/main" id="{E0EE421F-E373-41AE-ACD5-0A50AE666C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464820</xdr:colOff>
      <xdr:row>65</xdr:row>
      <xdr:rowOff>53340</xdr:rowOff>
    </xdr:from>
    <xdr:to>
      <xdr:col>9</xdr:col>
      <xdr:colOff>83820</xdr:colOff>
      <xdr:row>81</xdr:row>
      <xdr:rowOff>106680</xdr:rowOff>
    </xdr:to>
    <xdr:graphicFrame macro="">
      <xdr:nvGraphicFramePr>
        <xdr:cNvPr id="6" name="Chart 5">
          <a:extLst>
            <a:ext uri="{FF2B5EF4-FFF2-40B4-BE49-F238E27FC236}">
              <a16:creationId xmlns:a16="http://schemas.microsoft.com/office/drawing/2014/main" id="{F38A481F-7465-4FC7-A44B-BEAC543F79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236220</xdr:colOff>
      <xdr:row>65</xdr:row>
      <xdr:rowOff>30480</xdr:rowOff>
    </xdr:from>
    <xdr:to>
      <xdr:col>13</xdr:col>
      <xdr:colOff>2613660</xdr:colOff>
      <xdr:row>81</xdr:row>
      <xdr:rowOff>15240</xdr:rowOff>
    </xdr:to>
    <xdr:graphicFrame macro="">
      <xdr:nvGraphicFramePr>
        <xdr:cNvPr id="7" name="Chart 6">
          <a:extLst>
            <a:ext uri="{FF2B5EF4-FFF2-40B4-BE49-F238E27FC236}">
              <a16:creationId xmlns:a16="http://schemas.microsoft.com/office/drawing/2014/main" id="{B5898CB6-5FAC-4819-B22D-63BBED7793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480060</xdr:colOff>
      <xdr:row>94</xdr:row>
      <xdr:rowOff>30480</xdr:rowOff>
    </xdr:from>
    <xdr:to>
      <xdr:col>9</xdr:col>
      <xdr:colOff>563880</xdr:colOff>
      <xdr:row>109</xdr:row>
      <xdr:rowOff>175260</xdr:rowOff>
    </xdr:to>
    <xdr:graphicFrame macro="">
      <xdr:nvGraphicFramePr>
        <xdr:cNvPr id="8" name="Chart 7">
          <a:extLst>
            <a:ext uri="{FF2B5EF4-FFF2-40B4-BE49-F238E27FC236}">
              <a16:creationId xmlns:a16="http://schemas.microsoft.com/office/drawing/2014/main" id="{DF74DD19-4B37-4273-A5D4-D41AC2995B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0.59353</cdr:x>
      <cdr:y>0.19864</cdr:y>
    </cdr:from>
    <cdr:to>
      <cdr:x>0.59652</cdr:x>
      <cdr:y>0.68046</cdr:y>
    </cdr:to>
    <cdr:cxnSp macro="">
      <cdr:nvCxnSpPr>
        <cdr:cNvPr id="2" name="Straight Connector 1">
          <a:extLst xmlns:a="http://schemas.openxmlformats.org/drawingml/2006/main">
            <a:ext uri="{FF2B5EF4-FFF2-40B4-BE49-F238E27FC236}">
              <a16:creationId xmlns:a16="http://schemas.microsoft.com/office/drawing/2014/main" id="{6F49F51B-FC5C-92D3-B192-B58B608A5AB2}"/>
            </a:ext>
          </a:extLst>
        </cdr:cNvPr>
        <cdr:cNvCxnSpPr/>
      </cdr:nvCxnSpPr>
      <cdr:spPr>
        <a:xfrm xmlns:a="http://schemas.openxmlformats.org/drawingml/2006/main" flipH="1">
          <a:off x="3030220" y="591820"/>
          <a:ext cx="15240" cy="1435551"/>
        </a:xfrm>
        <a:prstGeom xmlns:a="http://schemas.openxmlformats.org/drawingml/2006/main" prst="line">
          <a:avLst/>
        </a:prstGeom>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userShape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NCHAN" refreshedDate="46242.831123379627" createdVersion="8" refreshedVersion="8" minRefreshableVersion="3" recordCount="373" xr:uid="{B75E1EE8-5B82-41FC-9076-261650E8634D}">
  <cacheSource type="worksheet">
    <worksheetSource name="Table1"/>
  </cacheSource>
  <cacheFields count="33">
    <cacheField name="Sector" numFmtId="0">
      <sharedItems count="3">
        <s v="Rural"/>
        <s v="Urban"/>
        <s v="Rural+Urban"/>
      </sharedItems>
    </cacheField>
    <cacheField name="Year" numFmtId="0">
      <sharedItems containsSemiMixedTypes="0" containsString="0" containsNumber="1" containsInteger="1" minValue="2013" maxValue="2023" count="11">
        <n v="2013"/>
        <n v="2014"/>
        <n v="2015"/>
        <n v="2016"/>
        <n v="2017"/>
        <n v="2018"/>
        <n v="2019"/>
        <n v="2020"/>
        <n v="2021"/>
        <n v="2022"/>
        <n v="2023"/>
      </sharedItems>
    </cacheField>
    <cacheField name="Month" numFmtId="0">
      <sharedItems count="15">
        <s v="January"/>
        <s v="February"/>
        <s v="March"/>
        <s v="April"/>
        <s v="May"/>
        <s v="June"/>
        <s v="July"/>
        <s v="August"/>
        <s v="September"/>
        <s v="October"/>
        <s v="November "/>
        <s v="November"/>
        <s v="December"/>
        <s v="Aprail" u="1"/>
        <s v="Marcrh" u="1"/>
      </sharedItems>
    </cacheField>
    <cacheField name="Segment" numFmtId="14">
      <sharedItems/>
    </cacheField>
    <cacheField name="Cereals and products" numFmtId="0">
      <sharedItems containsSemiMixedTypes="0" containsString="0" containsNumber="1" minValue="107.5" maxValue="174.8"/>
    </cacheField>
    <cacheField name="Meat and fish" numFmtId="0">
      <sharedItems containsSemiMixedTypes="0" containsString="0" containsNumber="1" minValue="106.3" maxValue="223.4"/>
    </cacheField>
    <cacheField name="Egg" numFmtId="0">
      <sharedItems containsSemiMixedTypes="0" containsString="0" containsNumber="1" minValue="102.7" maxValue="197"/>
    </cacheField>
    <cacheField name="Milk and products" numFmtId="0">
      <sharedItems containsSemiMixedTypes="0" containsString="0" containsNumber="1" minValue="103.6" maxValue="179.6"/>
    </cacheField>
    <cacheField name="Oils and fats" numFmtId="0">
      <sharedItems containsSemiMixedTypes="0" containsString="0" containsNumber="1" minValue="101.1" maxValue="209.9"/>
    </cacheField>
    <cacheField name="Fruits" numFmtId="0">
      <sharedItems containsSemiMixedTypes="0" containsString="0" containsNumber="1" minValue="102.3" maxValue="179.5"/>
    </cacheField>
    <cacheField name="Vegetables" numFmtId="0">
      <sharedItems containsSemiMixedTypes="0" containsString="0" containsNumber="1" minValue="101.4" maxValue="245.3"/>
    </cacheField>
    <cacheField name="Pulses and products" numFmtId="0">
      <sharedItems containsSemiMixedTypes="0" containsString="0" containsNumber="1" minValue="103.5" maxValue="191.6"/>
    </cacheField>
    <cacheField name="Sugar and Confectionery" numFmtId="0">
      <sharedItems containsSemiMixedTypes="0" containsString="0" containsNumber="1" minValue="85.3" maxValue="124.2"/>
    </cacheField>
    <cacheField name="Spices" numFmtId="0">
      <sharedItems containsSemiMixedTypes="0" containsString="0" containsNumber="1" minValue="101.8" maxValue="221"/>
    </cacheField>
    <cacheField name="Non-alcoholic beverages" numFmtId="0">
      <sharedItems containsSemiMixedTypes="0" containsString="0" containsNumber="1" minValue="104.8" maxValue="178.7"/>
    </cacheField>
    <cacheField name="Prepared meals, snacks, sweets etc." numFmtId="0">
      <sharedItems containsSemiMixedTypes="0" containsString="0" containsNumber="1" minValue="106.7" maxValue="197.7"/>
    </cacheField>
    <cacheField name="Food and beverages" numFmtId="0">
      <sharedItems containsSemiMixedTypes="0" containsString="0" containsNumber="1" minValue="105.5" maxValue="183.3" count="279">
        <n v="105.5"/>
        <n v="105.9"/>
        <n v="105.6"/>
        <n v="106.3"/>
        <n v="107.2"/>
        <n v="106.6"/>
        <n v="107.3"/>
        <n v="106.9"/>
        <n v="107.1"/>
        <n v="108.8"/>
        <n v="107.7"/>
        <n v="108.1"/>
        <n v="111.1"/>
        <n v="109.2"/>
        <n v="110.6"/>
        <n v="115"/>
        <n v="112.2"/>
        <n v="113.1"/>
        <n v="117.5"/>
        <n v="114.7"/>
        <n v="114.9"/>
        <n v="119.6"/>
        <n v="116.6"/>
        <n v="117.8"/>
        <n v="119.2"/>
        <n v="118.3"/>
        <n v="119.8"/>
        <n v="120.8"/>
        <n v="120.2"/>
        <n v="122.5"/>
        <n v="122.9"/>
        <n v="122.6"/>
        <n v="118.7"/>
        <n v="118.4"/>
        <n v="116"/>
        <n v="115.5"/>
        <n v="115.8"/>
        <n v="115.3"/>
        <n v="115.2"/>
        <n v="116.2"/>
        <n v="116.1"/>
        <n v="117.2"/>
        <n v="118.2"/>
        <n v="117.6"/>
        <n v="120"/>
        <n v="118.9"/>
        <n v="119.5"/>
        <n v="122"/>
        <n v="120.4"/>
        <n v="123.3"/>
        <n v="127.1"/>
        <n v="124.7"/>
        <n v="125.3"/>
        <n v="128.9"/>
        <n v="126.6"/>
        <n v="126.7"/>
        <n v="125.8"/>
        <n v="125.1"/>
        <n v="125.4"/>
        <n v="124.9"/>
        <n v="124"/>
        <n v="123.6"/>
        <n v="122.8"/>
        <n v="123.5"/>
        <n v="123.1"/>
        <n v="123.7"/>
        <n v="123.9"/>
        <n v="123.4"/>
        <n v="124.6"/>
        <n v="124.4"/>
        <n v="126.1"/>
        <n v="125"/>
        <n v="128.5"/>
        <n v="127.3"/>
        <n v="127.5"/>
        <n v="129.5"/>
        <n v="128.19999999999999"/>
        <n v="129.80000000000001"/>
        <n v="131.1"/>
        <n v="130.30000000000001"/>
        <n v="131"/>
        <n v="131.5"/>
        <n v="131.19999999999999"/>
        <n v="131.80000000000001"/>
        <n v="132.6"/>
        <n v="132.1"/>
        <n v="132.4"/>
        <n v="133.30000000000001"/>
        <n v="132.69999999999999"/>
        <n v="131.4"/>
        <n v="131.30000000000001"/>
        <n v="129.1"/>
        <n v="129.9"/>
        <n v="130.4"/>
        <n v="133.6"/>
        <n v="134.6"/>
        <n v="134"/>
        <n v="136"/>
        <n v="138.19999999999999"/>
        <n v="136.80000000000001"/>
        <n v="137.6"/>
        <n v="139.80000000000001"/>
        <n v="138.4"/>
        <n v="138"/>
        <n v="137.9"/>
        <n v="137.19999999999999"/>
        <n v="135.69999999999999"/>
        <n v="136.6"/>
        <n v="137.4"/>
        <n v="136.30000000000001"/>
        <n v="137"/>
        <n v="135.19999999999999"/>
        <n v="136.1"/>
        <n v="134.69999999999999"/>
        <n v="132.80000000000001"/>
        <n v="133.69999999999999"/>
        <n v="132"/>
        <n v="133.1"/>
        <n v="133"/>
        <n v="133.4"/>
        <n v="133.5"/>
        <n v="133.80000000000001"/>
        <n v="134.9"/>
        <n v="138.5"/>
        <n v="139"/>
        <n v="140.6"/>
        <n v="140.5"/>
        <n v="139.6"/>
        <n v="140.4"/>
        <n v="139.69999999999999"/>
        <n v="140.1"/>
        <n v="142.4"/>
        <n v="141.5"/>
        <n v="142.1"/>
        <n v="138.80000000000001"/>
        <n v="139.19999999999999"/>
        <n v="138.69999999999999"/>
        <n v="135.6"/>
        <n v="138.6"/>
        <n v="134.80000000000001"/>
        <n v="137.5"/>
        <n v="139.1"/>
        <n v="136.4"/>
        <n v="138.1"/>
        <n v="140"/>
        <n v="139.4"/>
        <n v="142"/>
        <n v="140.30000000000001"/>
        <n v="141.4"/>
        <n v="142.69999999999999"/>
        <n v="141.69999999999999"/>
        <n v="141.30000000000001"/>
        <n v="138.9"/>
        <n v="140.19999999999999"/>
        <n v="137.30000000000001"/>
        <n v="143.80000000000001"/>
        <n v="140.9"/>
        <n v="141"/>
        <n v="145.6"/>
        <n v="143"/>
        <n v="147.69999999999999"/>
        <n v="144.69999999999999"/>
        <n v="144"/>
        <n v="149.1"/>
        <n v="145.9"/>
        <n v="145.5"/>
        <n v="149.5"/>
        <n v="147"/>
        <n v="148.30000000000001"/>
        <n v="151.9"/>
        <n v="149.6"/>
        <n v="150.9"/>
        <n v="153.6"/>
        <n v="154.30000000000001"/>
        <n v="156.30000000000001"/>
        <n v="155"/>
        <n v="153"/>
        <n v="154.4"/>
        <n v="153.5"/>
        <n v="149.80000000000001"/>
        <n v="151.69999999999999"/>
        <n v="150.5"/>
        <n v="148.19999999999999"/>
        <n v="150.1"/>
        <n v="148.9"/>
        <n v="151.4"/>
        <n v="151.19999999999999"/>
        <n v="155.19999999999999"/>
        <n v="152.69999999999999"/>
        <n v="152.30000000000001"/>
        <n v="157"/>
        <n v="154"/>
        <n v="155.30000000000001"/>
        <n v="159.9"/>
        <n v="156.1"/>
        <n v="161.30000000000001"/>
        <n v="158"/>
        <n v="159.6"/>
        <n v="164.4"/>
        <n v="161.4"/>
        <n v="163.4"/>
        <n v="167"/>
        <n v="164.7"/>
        <n v="164.5"/>
        <n v="165.4"/>
        <n v="161"/>
        <n v="154.69999999999999"/>
        <n v="160.80000000000001"/>
        <n v="156.9"/>
        <n v="154.5"/>
        <n v="160.4"/>
        <n v="156.69999999999999"/>
        <n v="155.6"/>
        <n v="162"/>
        <n v="158.69999999999999"/>
        <n v="164.2"/>
        <n v="160.69999999999999"/>
        <n v="160.5"/>
        <n v="166.2"/>
        <n v="162.6"/>
        <n v="161.69999999999999"/>
        <n v="167.9"/>
        <n v="164"/>
        <n v="161.80000000000001"/>
        <n v="167.3"/>
        <n v="162.1"/>
        <n v="165.5"/>
        <n v="171.5"/>
        <n v="167.7"/>
        <n v="167.5"/>
        <n v="173.5"/>
        <n v="169.7"/>
        <n v="165.8"/>
        <n v="172.2"/>
        <n v="168.2"/>
        <n v="164.1"/>
        <n v="170.3"/>
        <n v="166.4"/>
        <n v="163.9"/>
        <n v="170.2"/>
        <n v="166.6"/>
        <n v="168.4"/>
        <n v="168.6"/>
        <n v="174.5"/>
        <n v="170.8"/>
        <n v="177.5"/>
        <n v="173.3"/>
        <n v="172.4"/>
        <n v="179.3"/>
        <n v="174.9"/>
        <n v="172.5"/>
        <n v="179.4"/>
        <n v="175"/>
        <n v="173.9"/>
        <n v="180.4"/>
        <n v="176.3"/>
        <n v="175.5"/>
        <n v="181.8"/>
        <n v="177.8"/>
        <n v="177.4"/>
        <n v="183.3"/>
        <n v="179.6"/>
        <n v="176.6"/>
        <n v="181.3"/>
        <n v="178.3"/>
        <n v="174.4"/>
        <n v="178.6"/>
        <n v="175.9"/>
        <n v="179.5"/>
        <n v="176.7"/>
        <n v="174.8"/>
        <n v="180.7"/>
        <n v="177"/>
        <n v="180.8"/>
        <n v="182.1"/>
        <n v="177.9"/>
        <n v="176.8"/>
        <n v="183.1"/>
        <n v="179.1"/>
      </sharedItems>
    </cacheField>
    <cacheField name="Pan, tobacco and intoxicants" numFmtId="0">
      <sharedItems containsSemiMixedTypes="0" containsString="0" containsNumber="1" minValue="105.1" maxValue="204.2"/>
    </cacheField>
    <cacheField name="Clothing" numFmtId="0">
      <sharedItems containsSemiMixedTypes="0" containsString="0" containsNumber="1" minValue="105.9" maxValue="191.2"/>
    </cacheField>
    <cacheField name="Footwear" numFmtId="0">
      <sharedItems containsSemiMixedTypes="0" containsString="0" containsNumber="1" minValue="105" maxValue="187.9"/>
    </cacheField>
    <cacheField name="Clothing and footwear" numFmtId="0">
      <sharedItems containsSemiMixedTypes="0" containsString="0" containsNumber="1" minValue="105.8" maxValue="190.8"/>
    </cacheField>
    <cacheField name="Housing" numFmtId="0">
      <sharedItems containsMixedTypes="1" containsNumber="1" minValue="100.3" maxValue="175.6"/>
    </cacheField>
    <cacheField name="Fuel and light" numFmtId="0">
      <sharedItems containsSemiMixedTypes="0" containsString="0" containsNumber="1" minValue="105.4" maxValue="183.4" count="275">
        <n v="105.5"/>
        <n v="105.4"/>
        <n v="106.2"/>
        <n v="105.7"/>
        <n v="106"/>
        <n v="106.1"/>
        <n v="106.5"/>
        <n v="106.4"/>
        <n v="107.5"/>
        <n v="107.2"/>
        <n v="107.4"/>
        <n v="108.5"/>
        <n v="108"/>
        <n v="108.3"/>
        <n v="109.5"/>
        <n v="108.6"/>
        <n v="109.2"/>
        <n v="109.9"/>
        <n v="109.3"/>
        <n v="109.7"/>
        <n v="111.1"/>
        <n v="110.5"/>
        <n v="111.6"/>
        <n v="110.9"/>
        <n v="112.6"/>
        <n v="110"/>
        <n v="112.8"/>
        <n v="110.4"/>
        <n v="111.9"/>
        <n v="113"/>
        <n v="111"/>
        <n v="112.2"/>
        <n v="113.2"/>
        <n v="112.4"/>
        <n v="113.4"/>
        <n v="112.5"/>
        <n v="114.4"/>
        <n v="111.2"/>
        <n v="115.3"/>
        <n v="113.9"/>
        <n v="115.4"/>
        <n v="111.8"/>
        <n v="114"/>
        <n v="115.8"/>
        <n v="114.3"/>
        <n v="116.4"/>
        <n v="112"/>
        <n v="114.7"/>
        <n v="117.3"/>
        <n v="115.5"/>
        <n v="117.4"/>
        <n v="115.7"/>
        <n v="118.4"/>
        <n v="116.5"/>
        <n v="120"/>
        <n v="117.7"/>
        <n v="120.6"/>
        <n v="118.3"/>
        <n v="121.2"/>
        <n v="118.7"/>
        <n v="121.9"/>
        <n v="114.9"/>
        <n v="119.2"/>
        <n v="122.6"/>
        <n v="115.1"/>
        <n v="119.8"/>
        <n v="123"/>
        <n v="120.1"/>
        <n v="123.8"/>
        <n v="123.7"/>
        <n v="120.4"/>
        <n v="124.4"/>
        <n v="120.8"/>
        <n v="125.6"/>
        <n v="121.6"/>
        <n v="125.7"/>
        <n v="116"/>
        <n v="122"/>
        <n v="126.2"/>
        <n v="116.9"/>
        <n v="122.7"/>
        <n v="127.5"/>
        <n v="123.1"/>
        <n v="127"/>
        <n v="114.8"/>
        <n v="122.4"/>
        <n v="114.6"/>
        <n v="122.3"/>
        <n v="127.4"/>
        <n v="115"/>
        <n v="128"/>
        <n v="123.3"/>
        <n v="128.19999999999999"/>
        <n v="123.4"/>
        <n v="129.1"/>
        <n v="123.6"/>
        <n v="129.69999999999999"/>
        <n v="124.1"/>
        <n v="129.80000000000001"/>
        <n v="115.2"/>
        <n v="124.3"/>
        <n v="130.30000000000001"/>
        <n v="116.2"/>
        <n v="125"/>
        <n v="132"/>
        <n v="117.8"/>
        <n v="126.6"/>
        <n v="132.1"/>
        <n v="118"/>
        <n v="126.8"/>
        <n v="133.19999999999999"/>
        <n v="127.9"/>
        <n v="134.19999999999999"/>
        <n v="135"/>
        <n v="121.4"/>
        <n v="129.4"/>
        <n v="134.80000000000001"/>
        <n v="119"/>
        <n v="128.80000000000001"/>
        <n v="135.30000000000001"/>
        <n v="119.7"/>
        <n v="136.4"/>
        <n v="118.9"/>
        <n v="137.4"/>
        <n v="131"/>
        <n v="138.1"/>
        <n v="132.19999999999999"/>
        <n v="141.1"/>
        <n v="142.6"/>
        <n v="136.6"/>
        <n v="142.30000000000001"/>
        <n v="127.3"/>
        <n v="142.4"/>
        <n v="136.69999999999999"/>
        <n v="126.4"/>
        <n v="136.5"/>
        <n v="143.80000000000001"/>
        <n v="124.6"/>
        <n v="144.30000000000001"/>
        <n v="124.7"/>
        <n v="136.9"/>
        <n v="145.1"/>
        <n v="126.5"/>
        <n v="146.80000000000001"/>
        <n v="128.1"/>
        <n v="139.69999999999999"/>
        <n v="147.69999999999999"/>
        <n v="140.9"/>
        <n v="149"/>
        <n v="131.19999999999999"/>
        <n v="149.69999999999999"/>
        <n v="133.4"/>
        <n v="145.30000000000001"/>
        <n v="150.30000000000001"/>
        <n v="132.4"/>
        <n v="142.69999999999999"/>
        <n v="146.19999999999999"/>
        <n v="128.6"/>
        <n v="139.5"/>
        <n v="127.1"/>
        <n v="138.4"/>
        <n v="146.4"/>
        <n v="140"/>
        <n v="146.9"/>
        <n v="140.30000000000001"/>
        <n v="147.80000000000001"/>
        <n v="130.5"/>
        <n v="141.19999999999999"/>
        <n v="139.30000000000001"/>
        <n v="125.5"/>
        <n v="138.5"/>
        <n v="139.19999999999999"/>
        <n v="128.9"/>
        <n v="140.6"/>
        <n v="148.4"/>
        <n v="149.9"/>
        <n v="133.6"/>
        <n v="143.69999999999999"/>
        <n v="150.4"/>
        <n v="135.1"/>
        <n v="144.6"/>
        <n v="152.30000000000001"/>
        <n v="138.9"/>
        <n v="147.19999999999999"/>
        <n v="153.4"/>
        <n v="141.4"/>
        <n v="148.9"/>
        <n v="137.1"/>
        <n v="144.1"/>
        <n v="146.6"/>
        <n v="143"/>
        <n v="144.9"/>
        <n v="141.9"/>
        <n v="145.80000000000001"/>
        <n v="138.30000000000001"/>
        <n v="137.19999999999999"/>
        <n v="142.9"/>
        <n v="143.1"/>
        <n v="147.5"/>
        <n v="137.30000000000001"/>
        <n v="143.6"/>
        <n v="148.69999999999999"/>
        <n v="137.9"/>
        <n v="150.9"/>
        <n v="147.9"/>
        <n v="154.4"/>
        <n v="149.1"/>
        <n v="152.4"/>
        <n v="156"/>
        <n v="154.80000000000001"/>
        <n v="155.5"/>
        <n v="154.9"/>
        <n v="155.6"/>
        <n v="161.69999999999999"/>
        <n v="159.4"/>
        <n v="162.1"/>
        <n v="156.1"/>
        <n v="159.80000000000001"/>
        <n v="162.5"/>
        <n v="157.69999999999999"/>
        <n v="160.69999999999999"/>
        <n v="163.1"/>
        <n v="162.6"/>
        <n v="163.69999999999999"/>
        <n v="160.80000000000001"/>
        <n v="165.5"/>
        <n v="162.19999999999999"/>
        <n v="164.2"/>
        <n v="165.3"/>
        <n v="161.6"/>
        <n v="163.9"/>
        <n v="165.6"/>
        <n v="164.1"/>
        <n v="165.8"/>
        <n v="167.4"/>
        <n v="163"/>
        <n v="165.7"/>
        <n v="168.9"/>
        <n v="164.5"/>
        <n v="167.2"/>
        <n v="173.3"/>
        <n v="170.5"/>
        <n v="172.2"/>
        <n v="175.3"/>
        <n v="173.5"/>
        <n v="174.6"/>
        <n v="176.7"/>
        <n v="174.9"/>
        <n v="176"/>
        <n v="179.6"/>
        <n v="179.5"/>
        <n v="179.1"/>
        <n v="178.4"/>
        <n v="178.8"/>
        <n v="179.7"/>
        <n v="179.2"/>
        <n v="180.8"/>
        <n v="180"/>
        <n v="180.5"/>
        <n v="181.9"/>
        <n v="180.3"/>
        <n v="181.3"/>
        <n v="182.8"/>
        <n v="180.6"/>
        <n v="182"/>
        <n v="183.2"/>
        <n v="180.1"/>
        <n v="181.6"/>
        <n v="182.1"/>
        <n v="181.4"/>
        <n v="182.6"/>
        <n v="181.5"/>
        <n v="181.7"/>
        <n v="182.5"/>
        <n v="183.4"/>
      </sharedItems>
    </cacheField>
    <cacheField name="Household goods and services" numFmtId="0">
      <sharedItems containsSemiMixedTypes="0" containsString="0" containsNumber="1" minValue="104.8" maxValue="179.8"/>
    </cacheField>
    <cacheField name="Health" numFmtId="0">
      <sharedItems containsSemiMixedTypes="0" containsString="0" containsNumber="1" minValue="104" maxValue="187.8" count="309">
        <n v="104"/>
        <n v="104.1"/>
        <n v="104.4"/>
        <n v="104.7"/>
        <n v="104.5"/>
        <n v="105.2"/>
        <n v="104.9"/>
        <n v="105.1"/>
        <n v="105.7"/>
        <n v="105.3"/>
        <n v="106.2"/>
        <n v="105.9"/>
        <n v="106.3"/>
        <n v="106.5"/>
        <n v="106.4"/>
        <n v="106.9"/>
        <n v="107.1"/>
        <n v="107"/>
        <n v="107.5"/>
        <n v="107.6"/>
        <n v="108.3"/>
        <n v="107.9"/>
        <n v="108.1"/>
        <n v="108.9"/>
        <n v="108.2"/>
        <n v="108.6"/>
        <n v="109.7"/>
        <n v="109.3"/>
        <n v="110.1"/>
        <n v="109"/>
        <n v="110.6"/>
        <n v="110.3"/>
        <n v="110.9"/>
        <n v="110.4"/>
        <n v="110.7"/>
        <n v="111.4"/>
        <n v="110.8"/>
        <n v="111.2"/>
        <n v="111.8"/>
        <n v="111"/>
        <n v="111.5"/>
        <n v="112.1"/>
        <n v="112.8"/>
        <n v="112.3"/>
        <n v="113.4"/>
        <n v="112.7"/>
        <n v="114"/>
        <n v="112.2"/>
        <n v="113.3"/>
        <n v="114.5"/>
        <n v="113.7"/>
        <n v="115.3"/>
        <n v="112.6"/>
        <n v="114.3"/>
        <n v="115.9"/>
        <n v="113"/>
        <n v="114.8"/>
        <n v="116.2"/>
        <n v="113.2"/>
        <n v="115.1"/>
        <n v="116.6"/>
        <n v="115.5"/>
        <n v="117.7"/>
        <n v="114.1"/>
        <n v="116.3"/>
        <n v="118.2"/>
        <n v="116.7"/>
        <n v="118.6"/>
        <n v="114.6"/>
        <n v="117.1"/>
        <n v="119.4"/>
        <n v="114.9"/>
        <n v="120.4"/>
        <n v="115.4"/>
        <n v="118.5"/>
        <n v="120.8"/>
        <n v="116"/>
        <n v="119"/>
        <n v="121.1"/>
        <n v="121.4"/>
        <n v="119.8"/>
        <n v="122"/>
        <n v="122.6"/>
        <n v="118.1"/>
        <n v="120.9"/>
        <n v="123.1"/>
        <n v="123.7"/>
        <n v="119.1"/>
        <n v="124.3"/>
        <n v="119.5"/>
        <n v="122.5"/>
        <n v="124.8"/>
        <n v="119.7"/>
        <n v="122.9"/>
        <n v="125.2"/>
        <n v="120"/>
        <n v="123.2"/>
        <n v="125.8"/>
        <n v="120.3"/>
        <n v="126.2"/>
        <n v="120.6"/>
        <n v="124.1"/>
        <n v="126.7"/>
        <n v="124.5"/>
        <n v="127"/>
        <n v="121.2"/>
        <n v="127.8"/>
        <n v="125.4"/>
        <n v="128.69999999999999"/>
        <n v="121.8"/>
        <n v="126.1"/>
        <n v="129.1"/>
        <n v="122.1"/>
        <n v="126.4"/>
        <n v="129.69999999999999"/>
        <n v="122.3"/>
        <n v="126.9"/>
        <n v="129.9"/>
        <n v="127.1"/>
        <n v="130.1"/>
        <n v="127.4"/>
        <n v="130.6"/>
        <n v="131"/>
        <n v="123.4"/>
        <n v="128.1"/>
        <n v="131.4"/>
        <n v="123.6"/>
        <n v="128.4"/>
        <n v="131.30000000000001"/>
        <n v="123.8"/>
        <n v="128.5"/>
        <n v="132.1"/>
        <n v="125"/>
        <n v="129.4"/>
        <n v="133"/>
        <n v="125.7"/>
        <n v="130.19999999999999"/>
        <n v="133.4"/>
        <n v="134.19999999999999"/>
        <n v="126.6"/>
        <n v="135.80000000000001"/>
        <n v="132.6"/>
        <n v="136.1"/>
        <n v="128.19999999999999"/>
        <n v="133.1"/>
        <n v="136"/>
        <n v="129"/>
        <n v="133.30000000000001"/>
        <n v="136.19999999999999"/>
        <n v="129.80000000000001"/>
        <n v="133.80000000000001"/>
        <n v="136.69999999999999"/>
        <n v="130.5"/>
        <n v="134.30000000000001"/>
        <n v="137.6"/>
        <n v="135.19999999999999"/>
        <n v="138.4"/>
        <n v="132"/>
        <n v="139"/>
        <n v="133.6"/>
        <n v="137"/>
        <n v="139.4"/>
        <n v="134.9"/>
        <n v="137.69999999999999"/>
        <n v="140"/>
        <n v="135.69999999999999"/>
        <n v="144.80000000000001"/>
        <n v="142.1"/>
        <n v="145.4"/>
        <n v="136.80000000000001"/>
        <n v="149.6"/>
        <n v="137.30000000000001"/>
        <n v="144.9"/>
        <n v="137.80000000000001"/>
        <n v="145.1"/>
        <n v="149.9"/>
        <n v="138.5"/>
        <n v="145.6"/>
        <n v="150.4"/>
        <n v="139.19999999999999"/>
        <n v="146.19999999999999"/>
        <n v="146.5"/>
        <n v="151.30000000000001"/>
        <n v="139.80000000000001"/>
        <n v="146.9"/>
        <n v="151.69999999999999"/>
        <n v="140.30000000000001"/>
        <n v="147.4"/>
        <n v="152.19999999999999"/>
        <n v="140.80000000000001"/>
        <n v="147.9"/>
        <n v="152.69999999999999"/>
        <n v="141.5"/>
        <n v="148.5"/>
        <n v="153.4"/>
        <n v="141.9"/>
        <n v="149"/>
        <n v="153.69999999999999"/>
        <n v="142.4"/>
        <n v="149.4"/>
        <n v="154.30000000000001"/>
        <n v="142.80000000000001"/>
        <n v="154.80000000000001"/>
        <n v="143.19999999999999"/>
        <n v="155.69999999999999"/>
        <n v="143.80000000000001"/>
        <n v="151.19999999999999"/>
        <n v="156.19999999999999"/>
        <n v="144.4"/>
        <n v="156.69999999999999"/>
        <n v="145"/>
        <n v="152.30000000000001"/>
        <n v="150.69999999999999"/>
        <n v="146.4"/>
        <n v="152.6"/>
        <n v="158.19999999999999"/>
        <n v="148.1"/>
        <n v="154.4"/>
        <n v="158.80000000000001"/>
        <n v="148.69999999999999"/>
        <n v="155"/>
        <n v="159.1"/>
        <n v="150"/>
        <n v="155.6"/>
        <n v="159.5"/>
        <n v="151"/>
        <n v="156.30000000000001"/>
        <n v="160.4"/>
        <n v="152"/>
        <n v="157.19999999999999"/>
        <n v="161.6"/>
        <n v="152.9"/>
        <n v="158.30000000000001"/>
        <n v="162.5"/>
        <n v="154.1"/>
        <n v="159.30000000000001"/>
        <n v="164.3"/>
        <n v="161.30000000000001"/>
        <n v="164.6"/>
        <n v="156.9"/>
        <n v="161.69999999999999"/>
        <n v="165.3"/>
        <n v="157.5"/>
        <n v="162.30000000000001"/>
        <n v="169.1"/>
        <n v="165.8"/>
        <n v="169.7"/>
        <n v="160.80000000000001"/>
        <n v="166.3"/>
        <n v="170.4"/>
        <n v="161.5"/>
        <n v="167"/>
        <n v="171.1"/>
        <n v="162.80000000000001"/>
        <n v="168.4"/>
        <n v="171.9"/>
        <n v="172.5"/>
        <n v="163.5"/>
        <n v="173.4"/>
        <n v="164.2"/>
        <n v="169.9"/>
        <n v="174"/>
        <n v="165.1"/>
        <n v="170.6"/>
        <n v="174.7"/>
        <n v="166.1"/>
        <n v="171.4"/>
        <n v="175.3"/>
        <n v="167.2"/>
        <n v="172.2"/>
        <n v="176"/>
        <n v="168.2"/>
        <n v="173"/>
        <n v="177"/>
        <n v="169"/>
        <n v="177.7"/>
        <n v="170.1"/>
        <n v="174.8"/>
        <n v="178.2"/>
        <n v="170.9"/>
        <n v="175.4"/>
        <n v="178.8"/>
        <n v="171.7"/>
        <n v="176.1"/>
        <n v="179.4"/>
        <n v="172.6"/>
        <n v="176.8"/>
        <n v="180.2"/>
        <n v="173.8"/>
        <n v="177.8"/>
        <n v="181.2"/>
        <n v="178.7"/>
        <n v="182.3"/>
        <n v="175.8"/>
        <n v="179.8"/>
        <n v="183.5"/>
        <n v="177.2"/>
        <n v="181.1"/>
        <n v="184.7"/>
        <n v="178.5"/>
        <n v="186.6"/>
        <n v="180.8"/>
        <n v="184.4"/>
        <n v="187.2"/>
        <n v="181.5"/>
        <n v="185"/>
        <n v="187.8"/>
        <n v="182.2"/>
        <n v="185.7"/>
      </sharedItems>
    </cacheField>
    <cacheField name="Transport and communication" numFmtId="0">
      <sharedItems containsSemiMixedTypes="0" containsString="0" containsNumber="1" minValue="103.2" maxValue="169.7"/>
    </cacheField>
    <cacheField name="Recreation and amusement" numFmtId="0">
      <sharedItems containsSemiMixedTypes="0" containsString="0" containsNumber="1" minValue="102.9" maxValue="173.8"/>
    </cacheField>
    <cacheField name="Education" numFmtId="0">
      <sharedItems containsSemiMixedTypes="0" containsString="0" containsNumber="1" minValue="103.5" maxValue="180.3"/>
    </cacheField>
    <cacheField name="Personal Care and Effect" numFmtId="0">
      <sharedItems containsSemiMixedTypes="0" containsString="0" containsNumber="1" minValue="102.1" maxValue="185.6" count="287">
        <n v="104.7"/>
        <n v="104.3"/>
        <n v="104.5"/>
        <n v="104.6"/>
        <n v="104.2"/>
        <n v="102.7"/>
        <n v="103.2"/>
        <n v="102.9"/>
        <n v="102.1"/>
        <n v="102.6"/>
        <n v="102.3"/>
        <n v="102.5"/>
        <n v="103.3"/>
        <n v="102.8"/>
        <n v="105"/>
        <n v="106"/>
        <n v="105.4"/>
        <n v="106.7"/>
        <n v="106.9"/>
        <n v="106.8"/>
        <n v="107.5"/>
        <n v="107.3"/>
        <n v="107.4"/>
        <n v="108.2"/>
        <n v="107.9"/>
        <n v="108.1"/>
        <n v="107.7"/>
        <n v="108.3"/>
        <n v="108"/>
        <n v="108.7"/>
        <n v="108.9"/>
        <n v="109.2"/>
        <n v="109"/>
        <n v="109.1"/>
        <n v="109.3"/>
        <n v="108.8"/>
        <n v="109.7"/>
        <n v="109.4"/>
        <n v="110.5"/>
        <n v="109.9"/>
        <n v="110"/>
        <n v="109.5"/>
        <n v="110.1"/>
        <n v="109.6"/>
        <n v="110.4"/>
        <n v="109.8"/>
        <n v="110.2"/>
        <n v="111.4"/>
        <n v="110.7"/>
        <n v="110.8"/>
        <n v="111.7"/>
        <n v="111.2"/>
        <n v="111.3"/>
        <n v="111"/>
        <n v="111.6"/>
        <n v="111.8"/>
        <n v="112.3"/>
        <n v="112.4"/>
        <n v="113"/>
        <n v="112.5"/>
        <n v="112.8"/>
        <n v="112.7"/>
        <n v="112"/>
        <n v="113.7"/>
        <n v="112.9"/>
        <n v="113.4"/>
        <n v="114.2"/>
        <n v="113.5"/>
        <n v="113.9"/>
        <n v="113.3"/>
        <n v="113.8"/>
        <n v="114.1"/>
        <n v="113.2"/>
        <n v="114.9"/>
        <n v="114"/>
        <n v="114.5"/>
        <n v="116.8"/>
        <n v="116.2"/>
        <n v="116.6"/>
        <n v="117.4"/>
        <n v="117.1"/>
        <n v="117.3"/>
        <n v="118.4"/>
        <n v="117.6"/>
        <n v="118.1"/>
        <n v="119.7"/>
        <n v="118.5"/>
        <n v="119.2"/>
        <n v="119.9"/>
        <n v="118.8"/>
        <n v="119.4"/>
        <n v="120.9"/>
        <n v="120"/>
        <n v="120.5"/>
        <n v="122"/>
        <n v="121.5"/>
        <n v="122.8"/>
        <n v="121.2"/>
        <n v="122.1"/>
        <n v="123"/>
        <n v="120.8"/>
        <n v="123.5"/>
        <n v="121.3"/>
        <n v="122.6"/>
        <n v="121.9"/>
        <n v="121.1"/>
        <n v="122.3"/>
        <n v="121.7"/>
        <n v="123.2"/>
        <n v="123.3"/>
        <n v="123.7"/>
        <n v="122.2"/>
        <n v="123.1"/>
        <n v="124.1"/>
        <n v="122.5"/>
        <n v="123.4"/>
        <n v="124.4"/>
        <n v="122.4"/>
        <n v="123.6"/>
        <n v="125.4"/>
        <n v="124.5"/>
        <n v="126.7"/>
        <n v="125.7"/>
        <n v="127.4"/>
        <n v="124.6"/>
        <n v="126.2"/>
        <n v="128.1"/>
        <n v="124.9"/>
        <n v="126.8"/>
        <n v="127.8"/>
        <n v="126.5"/>
        <n v="128.6"/>
        <n v="125.5"/>
        <n v="127.3"/>
        <n v="128.80000000000001"/>
        <n v="127.7"/>
        <n v="129.30000000000001"/>
        <n v="128.19999999999999"/>
        <n v="130.4"/>
        <n v="127.6"/>
        <n v="129.19999999999999"/>
        <n v="131.19999999999999"/>
        <n v="129.9"/>
        <n v="131.4"/>
        <n v="130.1"/>
        <n v="131.30000000000001"/>
        <n v="128.30000000000001"/>
        <n v="132"/>
        <n v="130.9"/>
        <n v="134.4"/>
        <n v="133.1"/>
        <n v="130.5"/>
        <n v="133.19999999999999"/>
        <n v="130.80000000000001"/>
        <n v="132.19999999999999"/>
        <n v="133.5"/>
        <n v="131.69999999999999"/>
        <n v="132.80000000000001"/>
        <n v="134.9"/>
        <n v="133"/>
        <n v="134.1"/>
        <n v="134"/>
        <n v="132.5"/>
        <n v="133.4"/>
        <n v="133.9"/>
        <n v="132.6"/>
        <n v="134.80000000000001"/>
        <n v="133.69999999999999"/>
        <n v="134.30000000000001"/>
        <n v="136.1"/>
        <n v="135.1"/>
        <n v="135.69999999999999"/>
        <n v="138.80000000000001"/>
        <n v="137.80000000000001"/>
        <n v="138.4"/>
        <n v="140.19999999999999"/>
        <n v="139"/>
        <n v="139.69999999999999"/>
        <n v="140.30000000000001"/>
        <n v="139.5"/>
        <n v="140"/>
        <n v="140.6"/>
        <n v="139.80000000000001"/>
        <n v="140.4"/>
        <n v="142.5"/>
        <n v="142.1"/>
        <n v="142.30000000000001"/>
        <n v="143.4"/>
        <n v="143.5"/>
        <n v="145.1"/>
        <n v="145.30000000000001"/>
        <n v="145.19999999999999"/>
        <n v="148.1"/>
        <n v="148.69999999999999"/>
        <n v="148.4"/>
        <n v="149.6"/>
        <n v="150.4"/>
        <n v="150"/>
        <n v="151.19999999999999"/>
        <n v="152.19999999999999"/>
        <n v="151.6"/>
        <n v="153.6"/>
        <n v="155.19999999999999"/>
        <n v="154.30000000000001"/>
        <n v="157.4"/>
        <n v="159.80000000000001"/>
        <n v="158.4"/>
        <n v="156.19999999999999"/>
        <n v="158.1"/>
        <n v="157"/>
        <n v="157.9"/>
        <n v="156.9"/>
        <n v="156.6"/>
        <n v="157.1"/>
        <n v="157.69999999999999"/>
        <n v="156.80000000000001"/>
        <n v="156.69999999999999"/>
        <n v="155.80000000000001"/>
        <n v="153.1"/>
        <n v="154.9"/>
        <n v="153.80000000000001"/>
        <n v="154.6"/>
        <n v="155.4"/>
        <n v="159.30000000000001"/>
        <n v="157.5"/>
        <n v="158.6"/>
        <n v="159.4"/>
        <n v="158"/>
        <n v="158.80000000000001"/>
        <n v="160.4"/>
        <n v="159.6"/>
        <n v="160.1"/>
        <n v="160.30000000000001"/>
        <n v="160"/>
        <n v="160.19999999999999"/>
        <n v="161.1"/>
        <n v="160.80000000000001"/>
        <n v="162.4"/>
        <n v="161.80000000000001"/>
        <n v="162.19999999999999"/>
        <n v="162.80000000000001"/>
        <n v="162.6"/>
        <n v="163.19999999999999"/>
        <n v="163"/>
        <n v="164.5"/>
        <n v="164.2"/>
        <n v="164.4"/>
        <n v="167.4"/>
        <n v="166.8"/>
        <n v="167.2"/>
        <n v="169"/>
        <n v="168.4"/>
        <n v="168.8"/>
        <n v="168.5"/>
        <n v="168.2"/>
        <n v="169.5"/>
        <n v="169.2"/>
        <n v="169.4"/>
        <n v="169.7"/>
        <n v="169.8"/>
        <n v="171.1"/>
        <n v="171.4"/>
        <n v="171.2"/>
        <n v="170.8"/>
        <n v="170.9"/>
        <n v="172"/>
        <n v="172.3"/>
        <n v="172.1"/>
        <n v="173.4"/>
        <n v="173.8"/>
        <n v="173.6"/>
        <n v="175.7"/>
        <n v="176"/>
        <n v="175.8"/>
        <n v="178.4"/>
        <n v="178.8"/>
        <n v="178.6"/>
        <n v="180.7"/>
        <n v="181.4"/>
        <n v="181"/>
        <n v="181.5"/>
        <n v="183.8"/>
        <n v="184.4"/>
        <n v="184"/>
        <n v="184.9"/>
        <n v="185.6"/>
        <n v="185.2"/>
      </sharedItems>
    </cacheField>
    <cacheField name="Miscellaneous" numFmtId="0">
      <sharedItems containsSemiMixedTypes="0" containsString="0" containsNumber="1" minValue="103.7" maxValue="179.5"/>
    </cacheField>
    <cacheField name="General index" numFmtId="0">
      <sharedItems containsSemiMixedTypes="0" containsString="0" containsNumber="1" minValue="104" maxValue="179.8" count="287">
        <n v="105.1"/>
        <n v="104"/>
        <n v="104.6"/>
        <n v="105.8"/>
        <n v="104.7"/>
        <n v="105.3"/>
        <n v="106"/>
        <n v="105"/>
        <n v="105.5"/>
        <n v="106.4"/>
        <n v="105.7"/>
        <n v="106.1"/>
        <n v="107.2"/>
        <n v="106.6"/>
        <n v="106.9"/>
        <n v="108.9"/>
        <n v="109.7"/>
        <n v="109.3"/>
        <n v="110.7"/>
        <n v="111.4"/>
        <n v="111"/>
        <n v="112.1"/>
        <n v="112.7"/>
        <n v="112.4"/>
        <n v="114.2"/>
        <n v="113.2"/>
        <n v="113.7"/>
        <n v="115.5"/>
        <n v="114"/>
        <n v="114.8"/>
        <n v="117.4"/>
        <n v="115"/>
        <n v="116.3"/>
        <n v="113.3"/>
        <n v="114.5"/>
        <n v="112.9"/>
        <n v="113.6"/>
        <n v="113.1"/>
        <n v="114.6"/>
        <n v="115.4"/>
        <n v="114.7"/>
        <n v="115.1"/>
        <n v="116"/>
        <n v="115.6"/>
        <n v="115.8"/>
        <n v="117"/>
        <n v="116.4"/>
        <n v="116.7"/>
        <n v="119.5"/>
        <n v="118.9"/>
        <n v="119.2"/>
        <n v="120.7"/>
        <n v="119.9"/>
        <n v="120.3"/>
        <n v="120.9"/>
        <n v="120.1"/>
        <n v="121"/>
        <n v="119.1"/>
        <n v="121.1"/>
        <n v="119"/>
        <n v="118.4"/>
        <n v="119.4"/>
        <n v="118.5"/>
        <n v="120.6"/>
        <n v="118.7"/>
        <n v="119.7"/>
        <n v="120.2"/>
        <n v="121.5"/>
        <n v="122.4"/>
        <n v="121.6"/>
        <n v="124.1"/>
        <n v="121.7"/>
        <n v="123"/>
        <n v="124.7"/>
        <n v="123.6"/>
        <n v="126.1"/>
        <n v="123.2"/>
        <n v="124.8"/>
        <n v="127"/>
        <n v="123.5"/>
        <n v="125.4"/>
        <n v="127.7"/>
        <n v="124.2"/>
        <n v="128.30000000000001"/>
        <n v="124.6"/>
        <n v="126.6"/>
        <n v="127.9"/>
        <n v="124"/>
        <n v="128.1"/>
        <n v="126.3"/>
        <n v="123.8"/>
        <n v="126"/>
        <n v="128"/>
        <n v="129"/>
        <n v="125.3"/>
        <n v="127.3"/>
        <n v="130.30000000000001"/>
        <n v="128.6"/>
        <n v="131.9"/>
        <n v="130.1"/>
        <n v="133"/>
        <n v="131.1"/>
        <n v="133.5"/>
        <n v="128.4"/>
        <n v="133.4"/>
        <n v="130.9"/>
        <n v="133.80000000000001"/>
        <n v="131.4"/>
        <n v="133.6"/>
        <n v="128.5"/>
        <n v="131.19999999999999"/>
        <n v="132.80000000000001"/>
        <n v="127.6"/>
        <n v="130.4"/>
        <n v="132.4"/>
        <n v="127.8"/>
        <n v="132.6"/>
        <n v="128.19999999999999"/>
        <n v="130.6"/>
        <n v="128.69999999999999"/>
        <n v="132.9"/>
        <n v="129.1"/>
        <n v="133.30000000000001"/>
        <n v="129.30000000000001"/>
        <n v="133.9"/>
        <n v="129.9"/>
        <n v="132"/>
        <n v="136.19999999999999"/>
        <n v="131.80000000000001"/>
        <n v="134.19999999999999"/>
        <n v="137.80000000000001"/>
        <n v="132.69999999999999"/>
        <n v="135.4"/>
        <n v="137.6"/>
        <n v="135.19999999999999"/>
        <n v="138.30000000000001"/>
        <n v="136.1"/>
        <n v="140"/>
        <n v="134.80000000000001"/>
        <n v="139.80000000000001"/>
        <n v="134.1"/>
        <n v="137.19999999999999"/>
        <n v="139.30000000000001"/>
        <n v="136.9"/>
        <n v="138.5"/>
        <n v="134"/>
        <n v="136.4"/>
        <n v="138.69999999999999"/>
        <n v="136.5"/>
        <n v="139.1"/>
        <n v="137.1"/>
        <n v="140.5"/>
        <n v="141.80000000000001"/>
        <n v="137.5"/>
        <n v="142.5"/>
        <n v="138"/>
        <n v="140.4"/>
        <n v="142.1"/>
        <n v="138.1"/>
        <n v="140.19999999999999"/>
        <n v="142.19999999999999"/>
        <n v="138.9"/>
        <n v="140.80000000000001"/>
        <n v="142.4"/>
        <n v="139"/>
        <n v="141.9"/>
        <n v="140.1"/>
        <n v="141"/>
        <n v="139.6"/>
        <n v="138.6"/>
        <n v="139.9"/>
        <n v="141.19999999999999"/>
        <n v="139.5"/>
        <n v="141.5"/>
        <n v="142"/>
        <n v="143.6"/>
        <n v="142.9"/>
        <n v="144.9"/>
        <n v="143.30000000000001"/>
        <n v="144.19999999999999"/>
        <n v="145.69999999999999"/>
        <n v="145"/>
        <n v="146.69999999999999"/>
        <n v="144.69999999999999"/>
        <n v="145.80000000000001"/>
        <n v="148.30000000000001"/>
        <n v="146"/>
        <n v="147.19999999999999"/>
        <n v="149.9"/>
        <n v="147"/>
        <n v="148.6"/>
        <n v="152.30000000000001"/>
        <n v="150.4"/>
        <n v="151.9"/>
        <n v="148.19999999999999"/>
        <n v="150.19999999999999"/>
        <n v="147.69999999999999"/>
        <n v="149.1"/>
        <n v="149.80000000000001"/>
        <n v="147.30000000000001"/>
        <n v="151.19999999999999"/>
        <n v="149"/>
        <n v="151"/>
        <n v="152.69999999999999"/>
        <n v="150.80000000000001"/>
        <n v="151.80000000000001"/>
        <n v="154.69999999999999"/>
        <n v="152.9"/>
        <n v="153.9"/>
        <n v="155.4"/>
        <n v="154"/>
        <n v="157.5"/>
        <n v="155.19999999999999"/>
        <n v="156.4"/>
        <n v="159.80000000000001"/>
        <n v="156.69999999999999"/>
        <n v="158.4"/>
        <n v="160.69999999999999"/>
        <n v="156.9"/>
        <n v="158.9"/>
        <n v="158.5"/>
        <n v="156"/>
        <n v="157.30000000000001"/>
        <n v="156.5"/>
        <n v="156.6"/>
        <n v="156.80000000000001"/>
        <n v="157.6"/>
        <n v="158"/>
        <n v="157.80000000000001"/>
        <n v="161.1"/>
        <n v="159.5"/>
        <n v="160.4"/>
        <n v="162.1"/>
        <n v="161.30000000000001"/>
        <n v="163.19999999999999"/>
        <n v="161.80000000000001"/>
        <n v="162.5"/>
        <n v="163.6"/>
        <n v="162.30000000000001"/>
        <n v="164"/>
        <n v="166.3"/>
        <n v="164.6"/>
        <n v="165.5"/>
        <n v="167.6"/>
        <n v="165.6"/>
        <n v="166.7"/>
        <n v="167"/>
        <n v="165.2"/>
        <n v="166.2"/>
        <n v="166.4"/>
        <n v="165"/>
        <n v="165.7"/>
        <n v="166.1"/>
        <n v="168.7"/>
        <n v="166.5"/>
        <n v="167.7"/>
        <n v="170.8"/>
        <n v="169.2"/>
        <n v="170.1"/>
        <n v="172.5"/>
        <n v="171.7"/>
        <n v="173.6"/>
        <n v="171.4"/>
        <n v="172.6"/>
        <n v="174.3"/>
        <n v="172.3"/>
        <n v="173.4"/>
        <n v="175.3"/>
        <n v="173.1"/>
        <n v="176.4"/>
        <n v="174.1"/>
        <n v="177.9"/>
        <n v="176.7"/>
        <n v="177.8"/>
        <n v="176.5"/>
        <n v="177.1"/>
        <n v="175.7"/>
        <n v="174.9"/>
        <n v="178"/>
        <n v="176.3"/>
        <n v="177.2"/>
        <n v="178.8"/>
        <n v="177.4"/>
        <n v="178.1"/>
        <n v="179.8"/>
        <n v="178.2"/>
        <n v="179.1"/>
      </sharedItems>
    </cacheField>
    <cacheField name="Column1" numFmtId="0">
      <sharedItems containsNonDate="0" containsString="0" containsBlank="1"/>
    </cacheField>
    <cacheField name="Column2" numFmtId="0">
      <sharedItems containsNonDate="0" containsString="0" containsBlank="1" count="1">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3">
  <r>
    <x v="0"/>
    <x v="0"/>
    <x v="0"/>
    <s v="January,2013"/>
    <n v="107.5"/>
    <n v="106.3"/>
    <n v="108.1"/>
    <n v="104.9"/>
    <n v="106.1"/>
    <n v="103.9"/>
    <n v="101.9"/>
    <n v="106.1"/>
    <n v="106.8"/>
    <n v="103.1"/>
    <n v="104.8"/>
    <n v="106.7"/>
    <x v="0"/>
    <n v="105.1"/>
    <n v="106.5"/>
    <n v="105.8"/>
    <n v="106.4"/>
    <s v="NA"/>
    <x v="0"/>
    <n v="104.8"/>
    <x v="0"/>
    <n v="103.3"/>
    <n v="103.4"/>
    <n v="103.8"/>
    <x v="0"/>
    <n v="104"/>
    <x v="0"/>
    <m/>
    <x v="0"/>
  </r>
  <r>
    <x v="1"/>
    <x v="0"/>
    <x v="0"/>
    <s v="January,2013"/>
    <n v="110.5"/>
    <n v="109.1"/>
    <n v="113"/>
    <n v="103.6"/>
    <n v="103.4"/>
    <n v="102.3"/>
    <n v="102.9"/>
    <n v="105.8"/>
    <n v="105.1"/>
    <n v="101.8"/>
    <n v="105.1"/>
    <n v="107.9"/>
    <x v="1"/>
    <n v="105.2"/>
    <n v="105.9"/>
    <n v="105"/>
    <n v="105.8"/>
    <n v="100.3"/>
    <x v="1"/>
    <n v="104.8"/>
    <x v="1"/>
    <n v="103.2"/>
    <n v="102.9"/>
    <n v="103.5"/>
    <x v="1"/>
    <n v="103.7"/>
    <x v="1"/>
    <m/>
    <x v="0"/>
  </r>
  <r>
    <x v="2"/>
    <x v="0"/>
    <x v="0"/>
    <s v="January,2013"/>
    <n v="108.4"/>
    <n v="107.3"/>
    <n v="110"/>
    <n v="104.4"/>
    <n v="105.1"/>
    <n v="103.2"/>
    <n v="102.2"/>
    <n v="106"/>
    <n v="106.2"/>
    <n v="102.7"/>
    <n v="104.9"/>
    <n v="107.3"/>
    <x v="2"/>
    <n v="105.1"/>
    <n v="106.3"/>
    <n v="105.5"/>
    <n v="106.2"/>
    <n v="100.3"/>
    <x v="0"/>
    <n v="104.8"/>
    <x v="0"/>
    <n v="103.2"/>
    <n v="103.1"/>
    <n v="103.6"/>
    <x v="2"/>
    <n v="103.9"/>
    <x v="2"/>
    <m/>
    <x v="0"/>
  </r>
  <r>
    <x v="0"/>
    <x v="0"/>
    <x v="1"/>
    <s v="February,2013"/>
    <n v="109.2"/>
    <n v="108.7"/>
    <n v="110.2"/>
    <n v="105.4"/>
    <n v="106.7"/>
    <n v="104"/>
    <n v="102.4"/>
    <n v="105.9"/>
    <n v="105.7"/>
    <n v="103.1"/>
    <n v="105.1"/>
    <n v="107.7"/>
    <x v="3"/>
    <n v="105.6"/>
    <n v="107.1"/>
    <n v="106.3"/>
    <n v="107"/>
    <s v="NA"/>
    <x v="2"/>
    <n v="105.2"/>
    <x v="2"/>
    <n v="103.9"/>
    <n v="104"/>
    <n v="104.1"/>
    <x v="3"/>
    <n v="104.4"/>
    <x v="3"/>
    <m/>
    <x v="0"/>
  </r>
  <r>
    <x v="1"/>
    <x v="0"/>
    <x v="1"/>
    <s v="February,2013"/>
    <n v="112.9"/>
    <n v="112.9"/>
    <n v="116.9"/>
    <n v="104"/>
    <n v="103.5"/>
    <n v="103.1"/>
    <n v="104.9"/>
    <n v="104.1"/>
    <n v="103.8"/>
    <n v="102.3"/>
    <n v="106"/>
    <n v="109"/>
    <x v="4"/>
    <n v="106"/>
    <n v="106.6"/>
    <n v="105.5"/>
    <n v="106.4"/>
    <n v="100.4"/>
    <x v="3"/>
    <n v="105.2"/>
    <x v="3"/>
    <n v="104.4"/>
    <n v="103.3"/>
    <n v="103.7"/>
    <x v="1"/>
    <n v="104.3"/>
    <x v="4"/>
    <m/>
    <x v="0"/>
  </r>
  <r>
    <x v="2"/>
    <x v="0"/>
    <x v="1"/>
    <s v="February,2013"/>
    <n v="110.4"/>
    <n v="110.2"/>
    <n v="112.8"/>
    <n v="104.9"/>
    <n v="105.5"/>
    <n v="103.6"/>
    <n v="103.2"/>
    <n v="105.3"/>
    <n v="105.1"/>
    <n v="102.8"/>
    <n v="105.5"/>
    <n v="108.3"/>
    <x v="5"/>
    <n v="105.7"/>
    <n v="106.9"/>
    <n v="106"/>
    <n v="106.8"/>
    <n v="100.4"/>
    <x v="4"/>
    <n v="105.2"/>
    <x v="4"/>
    <n v="104.2"/>
    <n v="103.6"/>
    <n v="103.9"/>
    <x v="2"/>
    <n v="104.4"/>
    <x v="5"/>
    <m/>
    <x v="0"/>
  </r>
  <r>
    <x v="0"/>
    <x v="0"/>
    <x v="2"/>
    <s v="March,2013"/>
    <n v="110.2"/>
    <n v="108.8"/>
    <n v="109.9"/>
    <n v="105.6"/>
    <n v="106.2"/>
    <n v="105.7"/>
    <n v="101.4"/>
    <n v="105.7"/>
    <n v="105"/>
    <n v="103.3"/>
    <n v="105.6"/>
    <n v="108.2"/>
    <x v="5"/>
    <n v="106.5"/>
    <n v="107.6"/>
    <n v="106.8"/>
    <n v="107.5"/>
    <s v="NA"/>
    <x v="5"/>
    <n v="105.6"/>
    <x v="3"/>
    <n v="104.6"/>
    <n v="104"/>
    <n v="104.3"/>
    <x v="1"/>
    <n v="104.6"/>
    <x v="6"/>
    <m/>
    <x v="0"/>
  </r>
  <r>
    <x v="1"/>
    <x v="0"/>
    <x v="2"/>
    <s v="March,2013"/>
    <n v="113.9"/>
    <n v="111.4"/>
    <n v="113.2"/>
    <n v="104.3"/>
    <n v="102.7"/>
    <n v="104.9"/>
    <n v="103.8"/>
    <n v="103.5"/>
    <n v="102.6"/>
    <n v="102.4"/>
    <n v="107"/>
    <n v="109.8"/>
    <x v="6"/>
    <n v="106.8"/>
    <n v="107.2"/>
    <n v="106"/>
    <n v="107"/>
    <n v="100.4"/>
    <x v="4"/>
    <n v="105.7"/>
    <x v="5"/>
    <n v="105.5"/>
    <n v="103.5"/>
    <n v="103.8"/>
    <x v="4"/>
    <n v="104.9"/>
    <x v="7"/>
    <m/>
    <x v="0"/>
  </r>
  <r>
    <x v="2"/>
    <x v="0"/>
    <x v="2"/>
    <s v="March,2013"/>
    <n v="111.4"/>
    <n v="109.7"/>
    <n v="111.2"/>
    <n v="105.1"/>
    <n v="104.9"/>
    <n v="105.3"/>
    <n v="102.2"/>
    <n v="105"/>
    <n v="104.2"/>
    <n v="103"/>
    <n v="106.2"/>
    <n v="108.9"/>
    <x v="7"/>
    <n v="106.6"/>
    <n v="107.4"/>
    <n v="106.5"/>
    <n v="107.3"/>
    <n v="100.4"/>
    <x v="5"/>
    <n v="105.6"/>
    <x v="6"/>
    <n v="105.1"/>
    <n v="103.7"/>
    <n v="104"/>
    <x v="1"/>
    <n v="104.7"/>
    <x v="8"/>
    <m/>
    <x v="0"/>
  </r>
  <r>
    <x v="0"/>
    <x v="0"/>
    <x v="3"/>
    <s v="April,2013"/>
    <n v="110.2"/>
    <n v="109.5"/>
    <n v="106.9"/>
    <n v="106.3"/>
    <n v="105.7"/>
    <n v="108.3"/>
    <n v="103.4"/>
    <n v="105.7"/>
    <n v="104.2"/>
    <n v="103.2"/>
    <n v="106.5"/>
    <n v="108.8"/>
    <x v="8"/>
    <n v="107.1"/>
    <n v="108.1"/>
    <n v="107.4"/>
    <n v="108"/>
    <s v="NA"/>
    <x v="6"/>
    <n v="106.1"/>
    <x v="7"/>
    <n v="104.4"/>
    <n v="104.5"/>
    <n v="104.8"/>
    <x v="5"/>
    <n v="104.6"/>
    <x v="9"/>
    <m/>
    <x v="0"/>
  </r>
  <r>
    <x v="1"/>
    <x v="0"/>
    <x v="3"/>
    <s v="April,2013"/>
    <n v="114.6"/>
    <n v="113.4"/>
    <n v="106"/>
    <n v="104.7"/>
    <n v="102.1"/>
    <n v="109.5"/>
    <n v="109.7"/>
    <n v="104.6"/>
    <n v="102"/>
    <n v="103.5"/>
    <n v="108.2"/>
    <n v="110.6"/>
    <x v="9"/>
    <n v="108.5"/>
    <n v="107.9"/>
    <n v="106.4"/>
    <n v="107.7"/>
    <n v="100.5"/>
    <x v="7"/>
    <n v="106.5"/>
    <x v="8"/>
    <n v="105"/>
    <n v="104"/>
    <n v="105.2"/>
    <x v="6"/>
    <n v="105.1"/>
    <x v="10"/>
    <m/>
    <x v="0"/>
  </r>
  <r>
    <x v="2"/>
    <x v="0"/>
    <x v="3"/>
    <s v="April,2013"/>
    <n v="111.6"/>
    <n v="110.9"/>
    <n v="106.6"/>
    <n v="105.7"/>
    <n v="104.4"/>
    <n v="108.9"/>
    <n v="105.5"/>
    <n v="105.3"/>
    <n v="103.5"/>
    <n v="103.3"/>
    <n v="107.2"/>
    <n v="109.6"/>
    <x v="10"/>
    <n v="107.5"/>
    <n v="108"/>
    <n v="107"/>
    <n v="107.9"/>
    <n v="100.5"/>
    <x v="6"/>
    <n v="106.3"/>
    <x v="9"/>
    <n v="104.7"/>
    <n v="104.2"/>
    <n v="105"/>
    <x v="7"/>
    <n v="104.8"/>
    <x v="11"/>
    <m/>
    <x v="0"/>
  </r>
  <r>
    <x v="0"/>
    <x v="0"/>
    <x v="4"/>
    <s v="May,2013"/>
    <n v="110.9"/>
    <n v="109.8"/>
    <n v="105.9"/>
    <n v="107.5"/>
    <n v="105.3"/>
    <n v="108.1"/>
    <n v="107.3"/>
    <n v="106.1"/>
    <n v="103.7"/>
    <n v="104"/>
    <n v="107.4"/>
    <n v="109.9"/>
    <x v="11"/>
    <n v="108.1"/>
    <n v="108.8"/>
    <n v="107.9"/>
    <n v="108.6"/>
    <s v="NA"/>
    <x v="8"/>
    <n v="106.8"/>
    <x v="8"/>
    <n v="104.1"/>
    <n v="105"/>
    <n v="105.5"/>
    <x v="8"/>
    <n v="104.8"/>
    <x v="12"/>
    <m/>
    <x v="0"/>
  </r>
  <r>
    <x v="1"/>
    <x v="0"/>
    <x v="4"/>
    <s v="May,2013"/>
    <n v="115.4"/>
    <n v="114.2"/>
    <n v="102.7"/>
    <n v="105.5"/>
    <n v="101.5"/>
    <n v="110.6"/>
    <n v="123.7"/>
    <n v="105.2"/>
    <n v="101.9"/>
    <n v="105"/>
    <n v="109.1"/>
    <n v="111.3"/>
    <x v="12"/>
    <n v="109.8"/>
    <n v="108.5"/>
    <n v="106.7"/>
    <n v="108.3"/>
    <n v="100.5"/>
    <x v="9"/>
    <n v="107.1"/>
    <x v="10"/>
    <n v="103.9"/>
    <n v="104.6"/>
    <n v="105.7"/>
    <x v="9"/>
    <n v="104.9"/>
    <x v="13"/>
    <m/>
    <x v="0"/>
  </r>
  <r>
    <x v="2"/>
    <x v="0"/>
    <x v="4"/>
    <s v="May,2013"/>
    <n v="112.3"/>
    <n v="111.3"/>
    <n v="104.7"/>
    <n v="106.8"/>
    <n v="103.9"/>
    <n v="109.3"/>
    <n v="112.9"/>
    <n v="105.8"/>
    <n v="103.1"/>
    <n v="104.3"/>
    <n v="108.1"/>
    <n v="110.5"/>
    <x v="13"/>
    <n v="108.6"/>
    <n v="108.7"/>
    <n v="107.4"/>
    <n v="108.5"/>
    <n v="100.5"/>
    <x v="10"/>
    <n v="106.9"/>
    <x v="11"/>
    <n v="104"/>
    <n v="104.8"/>
    <n v="105.6"/>
    <x v="10"/>
    <n v="104.8"/>
    <x v="14"/>
    <m/>
    <x v="0"/>
  </r>
  <r>
    <x v="0"/>
    <x v="0"/>
    <x v="5"/>
    <s v="June,2013"/>
    <n v="112.3"/>
    <n v="112.1"/>
    <n v="108.1"/>
    <n v="108.3"/>
    <n v="105.9"/>
    <n v="109.2"/>
    <n v="118"/>
    <n v="106.8"/>
    <n v="104.1"/>
    <n v="105.4"/>
    <n v="108.2"/>
    <n v="111"/>
    <x v="14"/>
    <n v="109"/>
    <n v="109.7"/>
    <n v="108.8"/>
    <n v="109.5"/>
    <s v="NA"/>
    <x v="11"/>
    <n v="107.5"/>
    <x v="12"/>
    <n v="105"/>
    <n v="105.6"/>
    <n v="106.5"/>
    <x v="11"/>
    <n v="105.5"/>
    <x v="15"/>
    <m/>
    <x v="0"/>
  </r>
  <r>
    <x v="1"/>
    <x v="0"/>
    <x v="5"/>
    <s v="June,2013"/>
    <n v="117"/>
    <n v="120.1"/>
    <n v="112.5"/>
    <n v="107.3"/>
    <n v="101.3"/>
    <n v="112.4"/>
    <n v="143.6"/>
    <n v="105.4"/>
    <n v="101.4"/>
    <n v="106.4"/>
    <n v="110"/>
    <n v="112.2"/>
    <x v="15"/>
    <n v="110.9"/>
    <n v="109.2"/>
    <n v="107.2"/>
    <n v="108.9"/>
    <n v="106.6"/>
    <x v="12"/>
    <n v="107.7"/>
    <x v="13"/>
    <n v="105.2"/>
    <n v="105.2"/>
    <n v="108.1"/>
    <x v="12"/>
    <n v="106.1"/>
    <x v="16"/>
    <m/>
    <x v="0"/>
  </r>
  <r>
    <x v="2"/>
    <x v="0"/>
    <x v="5"/>
    <s v="June,2013"/>
    <n v="113.8"/>
    <n v="114.9"/>
    <n v="109.8"/>
    <n v="107.9"/>
    <n v="104.2"/>
    <n v="110.7"/>
    <n v="126.7"/>
    <n v="106.3"/>
    <n v="103.2"/>
    <n v="105.7"/>
    <n v="109"/>
    <n v="111.6"/>
    <x v="16"/>
    <n v="109.5"/>
    <n v="109.5"/>
    <n v="108.1"/>
    <n v="109.3"/>
    <n v="106.6"/>
    <x v="13"/>
    <n v="107.6"/>
    <x v="14"/>
    <n v="105.1"/>
    <n v="105.4"/>
    <n v="107.4"/>
    <x v="13"/>
    <n v="105.8"/>
    <x v="17"/>
    <m/>
    <x v="0"/>
  </r>
  <r>
    <x v="0"/>
    <x v="0"/>
    <x v="6"/>
    <s v="July,2013"/>
    <n v="113.4"/>
    <n v="114.9"/>
    <n v="110.5"/>
    <n v="109.3"/>
    <n v="106.2"/>
    <n v="110.3"/>
    <n v="129.19999999999999"/>
    <n v="107.1"/>
    <n v="104.3"/>
    <n v="106.4"/>
    <n v="109.1"/>
    <n v="112.1"/>
    <x v="17"/>
    <n v="109.8"/>
    <n v="110.5"/>
    <n v="109.5"/>
    <n v="110.3"/>
    <s v="NA"/>
    <x v="14"/>
    <n v="108.3"/>
    <x v="15"/>
    <n v="106.8"/>
    <n v="106.4"/>
    <n v="107.8"/>
    <x v="11"/>
    <n v="106.5"/>
    <x v="18"/>
    <m/>
    <x v="0"/>
  </r>
  <r>
    <x v="1"/>
    <x v="0"/>
    <x v="6"/>
    <s v="July,2013"/>
    <n v="117.8"/>
    <n v="119.2"/>
    <n v="114"/>
    <n v="108.3"/>
    <n v="101.1"/>
    <n v="113.2"/>
    <n v="160.9"/>
    <n v="105.1"/>
    <n v="101.3"/>
    <n v="107.5"/>
    <n v="110.4"/>
    <n v="113.1"/>
    <x v="18"/>
    <n v="111.7"/>
    <n v="109.8"/>
    <n v="107.8"/>
    <n v="109.5"/>
    <n v="107.7"/>
    <x v="15"/>
    <n v="108.1"/>
    <x v="16"/>
    <n v="107.3"/>
    <n v="105.9"/>
    <n v="110.1"/>
    <x v="6"/>
    <n v="107.3"/>
    <x v="19"/>
    <m/>
    <x v="0"/>
  </r>
  <r>
    <x v="2"/>
    <x v="0"/>
    <x v="6"/>
    <s v="July,2013"/>
    <n v="114.8"/>
    <n v="116.4"/>
    <n v="111.9"/>
    <n v="108.9"/>
    <n v="104.3"/>
    <n v="111.7"/>
    <n v="140"/>
    <n v="106.4"/>
    <n v="103.3"/>
    <n v="106.8"/>
    <n v="109.6"/>
    <n v="112.6"/>
    <x v="19"/>
    <n v="110.3"/>
    <n v="110.2"/>
    <n v="108.8"/>
    <n v="110"/>
    <n v="107.7"/>
    <x v="16"/>
    <n v="108.2"/>
    <x v="17"/>
    <n v="107.1"/>
    <n v="106.1"/>
    <n v="109.1"/>
    <x v="13"/>
    <n v="106.9"/>
    <x v="20"/>
    <m/>
    <x v="0"/>
  </r>
  <r>
    <x v="0"/>
    <x v="0"/>
    <x v="7"/>
    <s v="August,2013"/>
    <n v="114.3"/>
    <n v="115.4"/>
    <n v="111.1"/>
    <n v="110"/>
    <n v="106.4"/>
    <n v="110.8"/>
    <n v="138.9"/>
    <n v="107.4"/>
    <n v="104.1"/>
    <n v="106.9"/>
    <n v="109.7"/>
    <n v="112.6"/>
    <x v="20"/>
    <n v="110.7"/>
    <n v="111.3"/>
    <n v="110.2"/>
    <n v="111.1"/>
    <s v="NA"/>
    <x v="17"/>
    <n v="108.7"/>
    <x v="18"/>
    <n v="107.8"/>
    <n v="106.8"/>
    <n v="108.7"/>
    <x v="14"/>
    <n v="107.5"/>
    <x v="21"/>
    <m/>
    <x v="0"/>
  </r>
  <r>
    <x v="1"/>
    <x v="0"/>
    <x v="7"/>
    <s v="August,2013"/>
    <n v="118.3"/>
    <n v="120.4"/>
    <n v="112.7"/>
    <n v="108.9"/>
    <n v="101.1"/>
    <n v="108.7"/>
    <n v="177"/>
    <n v="104.7"/>
    <n v="101"/>
    <n v="108.5"/>
    <n v="110.9"/>
    <n v="114.3"/>
    <x v="21"/>
    <n v="112.4"/>
    <n v="110.6"/>
    <n v="108.3"/>
    <n v="110.2"/>
    <n v="108.9"/>
    <x v="18"/>
    <n v="108.7"/>
    <x v="19"/>
    <n v="108.1"/>
    <n v="106.5"/>
    <n v="110.8"/>
    <x v="15"/>
    <n v="108.3"/>
    <x v="22"/>
    <m/>
    <x v="0"/>
  </r>
  <r>
    <x v="2"/>
    <x v="0"/>
    <x v="7"/>
    <s v="August,2013"/>
    <n v="115.6"/>
    <n v="117.2"/>
    <n v="111.7"/>
    <n v="109.6"/>
    <n v="104.5"/>
    <n v="109.8"/>
    <n v="151.80000000000001"/>
    <n v="106.5"/>
    <n v="103.1"/>
    <n v="107.4"/>
    <n v="110.2"/>
    <n v="113.4"/>
    <x v="22"/>
    <n v="111.2"/>
    <n v="111"/>
    <n v="109.4"/>
    <n v="110.7"/>
    <n v="108.9"/>
    <x v="19"/>
    <n v="108.7"/>
    <x v="18"/>
    <n v="108"/>
    <n v="106.6"/>
    <n v="109.9"/>
    <x v="16"/>
    <n v="107.9"/>
    <x v="23"/>
    <m/>
    <x v="0"/>
  </r>
  <r>
    <x v="0"/>
    <x v="0"/>
    <x v="8"/>
    <s v="September,2013"/>
    <n v="115.4"/>
    <n v="115.7"/>
    <n v="111.7"/>
    <n v="111"/>
    <n v="107.4"/>
    <n v="110.9"/>
    <n v="154"/>
    <n v="108.1"/>
    <n v="104.2"/>
    <n v="107.9"/>
    <n v="110.4"/>
    <n v="114"/>
    <x v="23"/>
    <n v="111.7"/>
    <n v="112.7"/>
    <n v="111.4"/>
    <n v="112.5"/>
    <s v="NA"/>
    <x v="20"/>
    <n v="109.6"/>
    <x v="20"/>
    <n v="109.3"/>
    <n v="107.7"/>
    <n v="109.8"/>
    <x v="17"/>
    <n v="108.7"/>
    <x v="24"/>
    <m/>
    <x v="0"/>
  </r>
  <r>
    <x v="1"/>
    <x v="0"/>
    <x v="8"/>
    <s v="September,2013"/>
    <n v="118.6"/>
    <n v="119.1"/>
    <n v="113.2"/>
    <n v="109.6"/>
    <n v="101.7"/>
    <n v="103.2"/>
    <n v="174.3"/>
    <n v="105.1"/>
    <n v="100.8"/>
    <n v="109.1"/>
    <n v="111.1"/>
    <n v="115.4"/>
    <x v="24"/>
    <n v="112.9"/>
    <n v="111.4"/>
    <n v="109"/>
    <n v="111.1"/>
    <n v="109.7"/>
    <x v="14"/>
    <n v="109.6"/>
    <x v="21"/>
    <n v="110.4"/>
    <n v="107.4"/>
    <n v="111.2"/>
    <x v="18"/>
    <n v="109.4"/>
    <x v="25"/>
    <m/>
    <x v="0"/>
  </r>
  <r>
    <x v="2"/>
    <x v="0"/>
    <x v="8"/>
    <s v="September,2013"/>
    <n v="116.4"/>
    <n v="116.9"/>
    <n v="112.3"/>
    <n v="110.5"/>
    <n v="105.3"/>
    <n v="107.3"/>
    <n v="160.9"/>
    <n v="107.1"/>
    <n v="103.1"/>
    <n v="108.3"/>
    <n v="110.7"/>
    <n v="114.6"/>
    <x v="25"/>
    <n v="112"/>
    <n v="112.2"/>
    <n v="110.4"/>
    <n v="111.9"/>
    <n v="109.7"/>
    <x v="21"/>
    <n v="109.6"/>
    <x v="22"/>
    <n v="109.9"/>
    <n v="107.5"/>
    <n v="110.6"/>
    <x v="19"/>
    <n v="109"/>
    <x v="26"/>
    <m/>
    <x v="0"/>
  </r>
  <r>
    <x v="0"/>
    <x v="0"/>
    <x v="9"/>
    <s v="October,2013"/>
    <n v="116.3"/>
    <n v="115.4"/>
    <n v="112.6"/>
    <n v="111.7"/>
    <n v="107.7"/>
    <n v="113.2"/>
    <n v="164.9"/>
    <n v="108.3"/>
    <n v="103.9"/>
    <n v="108.2"/>
    <n v="111.1"/>
    <n v="114.9"/>
    <x v="26"/>
    <n v="112.2"/>
    <n v="113.6"/>
    <n v="112.3"/>
    <n v="113.4"/>
    <s v="NA"/>
    <x v="22"/>
    <n v="110.4"/>
    <x v="23"/>
    <n v="109.3"/>
    <n v="108.3"/>
    <n v="110.2"/>
    <x v="20"/>
    <n v="109.1"/>
    <x v="27"/>
    <m/>
    <x v="0"/>
  </r>
  <r>
    <x v="1"/>
    <x v="0"/>
    <x v="9"/>
    <s v="October,2013"/>
    <n v="118.9"/>
    <n v="118.1"/>
    <n v="114.5"/>
    <n v="110.4"/>
    <n v="102.3"/>
    <n v="106.2"/>
    <n v="183.5"/>
    <n v="105.3"/>
    <n v="100.2"/>
    <n v="109.6"/>
    <n v="111.4"/>
    <n v="116"/>
    <x v="27"/>
    <n v="113.5"/>
    <n v="112.5"/>
    <n v="109.7"/>
    <n v="112"/>
    <n v="110.5"/>
    <x v="19"/>
    <n v="110.2"/>
    <x v="24"/>
    <n v="109.7"/>
    <n v="108"/>
    <n v="111.3"/>
    <x v="21"/>
    <n v="109.4"/>
    <x v="28"/>
    <m/>
    <x v="0"/>
  </r>
  <r>
    <x v="2"/>
    <x v="0"/>
    <x v="9"/>
    <s v="October,2013"/>
    <n v="117.1"/>
    <n v="116.3"/>
    <n v="113.3"/>
    <n v="111.2"/>
    <n v="105.7"/>
    <n v="109.9"/>
    <n v="171.2"/>
    <n v="107.3"/>
    <n v="102.7"/>
    <n v="108.7"/>
    <n v="111.2"/>
    <n v="115.4"/>
    <x v="28"/>
    <n v="112.5"/>
    <n v="113.2"/>
    <n v="111.2"/>
    <n v="112.8"/>
    <n v="110.5"/>
    <x v="23"/>
    <n v="110.3"/>
    <x v="25"/>
    <n v="109.5"/>
    <n v="108.1"/>
    <n v="110.8"/>
    <x v="22"/>
    <n v="109.2"/>
    <x v="29"/>
    <m/>
    <x v="0"/>
  </r>
  <r>
    <x v="0"/>
    <x v="0"/>
    <x v="10"/>
    <s v="November ,2013"/>
    <n v="117.3"/>
    <n v="114.9"/>
    <n v="116.2"/>
    <n v="112.8"/>
    <n v="108.9"/>
    <n v="116.6"/>
    <n v="178.1"/>
    <n v="109.1"/>
    <n v="103.6"/>
    <n v="109"/>
    <n v="111.8"/>
    <n v="116"/>
    <x v="29"/>
    <n v="112.8"/>
    <n v="114.6"/>
    <n v="113.1"/>
    <n v="114.4"/>
    <s v="NA"/>
    <x v="24"/>
    <n v="111.3"/>
    <x v="26"/>
    <n v="109.6"/>
    <n v="108.7"/>
    <n v="111"/>
    <x v="23"/>
    <n v="109.8"/>
    <x v="30"/>
    <m/>
    <x v="0"/>
  </r>
  <r>
    <x v="1"/>
    <x v="0"/>
    <x v="11"/>
    <s v="November,2013"/>
    <n v="119.8"/>
    <n v="116.3"/>
    <n v="122.6"/>
    <n v="112"/>
    <n v="103.2"/>
    <n v="110"/>
    <n v="192.8"/>
    <n v="106.3"/>
    <n v="99.5"/>
    <n v="110.3"/>
    <n v="111.8"/>
    <n v="117.1"/>
    <x v="30"/>
    <n v="114.1"/>
    <n v="113.5"/>
    <n v="110.3"/>
    <n v="113"/>
    <n v="111.1"/>
    <x v="25"/>
    <n v="110.9"/>
    <x v="25"/>
    <n v="109.5"/>
    <n v="108.5"/>
    <n v="111.3"/>
    <x v="24"/>
    <n v="109.6"/>
    <x v="31"/>
    <m/>
    <x v="0"/>
  </r>
  <r>
    <x v="2"/>
    <x v="0"/>
    <x v="11"/>
    <s v="November,2013"/>
    <n v="118.1"/>
    <n v="115.4"/>
    <n v="118.7"/>
    <n v="112.5"/>
    <n v="106.8"/>
    <n v="113.5"/>
    <n v="183.1"/>
    <n v="108.2"/>
    <n v="102.2"/>
    <n v="109.4"/>
    <n v="111.8"/>
    <n v="116.5"/>
    <x v="31"/>
    <n v="113.1"/>
    <n v="114.2"/>
    <n v="111.9"/>
    <n v="113.8"/>
    <n v="111.1"/>
    <x v="22"/>
    <n v="111.1"/>
    <x v="27"/>
    <n v="109.5"/>
    <n v="108.6"/>
    <n v="111.2"/>
    <x v="25"/>
    <n v="109.7"/>
    <x v="32"/>
    <m/>
    <x v="0"/>
  </r>
  <r>
    <x v="0"/>
    <x v="0"/>
    <x v="12"/>
    <s v="December,2013"/>
    <n v="118.4"/>
    <n v="115.9"/>
    <n v="120.4"/>
    <n v="113.8"/>
    <n v="109.5"/>
    <n v="115.5"/>
    <n v="145.69999999999999"/>
    <n v="109.5"/>
    <n v="102.9"/>
    <n v="109.8"/>
    <n v="112.1"/>
    <n v="116.8"/>
    <x v="32"/>
    <n v="113.6"/>
    <n v="115.8"/>
    <n v="114"/>
    <n v="115.5"/>
    <s v="NA"/>
    <x v="26"/>
    <n v="112.1"/>
    <x v="28"/>
    <n v="109.9"/>
    <n v="109.2"/>
    <n v="111.6"/>
    <x v="25"/>
    <n v="110.1"/>
    <x v="27"/>
    <m/>
    <x v="0"/>
  </r>
  <r>
    <x v="1"/>
    <x v="0"/>
    <x v="12"/>
    <s v="December,2013"/>
    <n v="120.5"/>
    <n v="118.1"/>
    <n v="128.5"/>
    <n v="112.8"/>
    <n v="103.4"/>
    <n v="110.7"/>
    <n v="144.80000000000001"/>
    <n v="107.1"/>
    <n v="98.6"/>
    <n v="111.9"/>
    <n v="112.1"/>
    <n v="118.1"/>
    <x v="23"/>
    <n v="115"/>
    <n v="114.2"/>
    <n v="110.9"/>
    <n v="113.7"/>
    <n v="110.7"/>
    <x v="27"/>
    <n v="111.3"/>
    <x v="29"/>
    <n v="109.7"/>
    <n v="108.9"/>
    <n v="111.4"/>
    <x v="26"/>
    <n v="109.8"/>
    <x v="33"/>
    <m/>
    <x v="0"/>
  </r>
  <r>
    <x v="2"/>
    <x v="0"/>
    <x v="12"/>
    <s v="December,2013"/>
    <n v="119.1"/>
    <n v="116.7"/>
    <n v="123.5"/>
    <n v="113.4"/>
    <n v="107.3"/>
    <n v="113.3"/>
    <n v="145.4"/>
    <n v="108.7"/>
    <n v="101.5"/>
    <n v="110.5"/>
    <n v="112.1"/>
    <n v="117.4"/>
    <x v="33"/>
    <n v="114"/>
    <n v="115.2"/>
    <n v="112.7"/>
    <n v="114.8"/>
    <n v="110.7"/>
    <x v="28"/>
    <n v="111.7"/>
    <x v="26"/>
    <n v="109.8"/>
    <n v="109"/>
    <n v="111.5"/>
    <x v="24"/>
    <n v="110"/>
    <x v="34"/>
    <m/>
    <x v="0"/>
  </r>
  <r>
    <x v="0"/>
    <x v="1"/>
    <x v="0"/>
    <s v="January,2014"/>
    <n v="118.9"/>
    <n v="117.1"/>
    <n v="120.5"/>
    <n v="114.4"/>
    <n v="109"/>
    <n v="115.5"/>
    <n v="123.9"/>
    <n v="109.6"/>
    <n v="101.8"/>
    <n v="110.2"/>
    <n v="112.4"/>
    <n v="117.3"/>
    <x v="34"/>
    <n v="114"/>
    <n v="116.5"/>
    <n v="114.5"/>
    <n v="116.2"/>
    <s v="NA"/>
    <x v="29"/>
    <n v="112.6"/>
    <x v="30"/>
    <n v="110.5"/>
    <n v="109.6"/>
    <n v="111.8"/>
    <x v="27"/>
    <n v="110.6"/>
    <x v="24"/>
    <m/>
    <x v="0"/>
  </r>
  <r>
    <x v="1"/>
    <x v="1"/>
    <x v="0"/>
    <s v="January,2014"/>
    <n v="121.2"/>
    <n v="122"/>
    <n v="129.9"/>
    <n v="113.6"/>
    <n v="102.9"/>
    <n v="112.1"/>
    <n v="118.9"/>
    <n v="107.5"/>
    <n v="96.9"/>
    <n v="112.7"/>
    <n v="112.1"/>
    <n v="119"/>
    <x v="35"/>
    <n v="115.7"/>
    <n v="114.8"/>
    <n v="111.3"/>
    <n v="114.3"/>
    <n v="111.6"/>
    <x v="30"/>
    <n v="111.9"/>
    <x v="26"/>
    <n v="110.8"/>
    <n v="109.8"/>
    <n v="111.5"/>
    <x v="28"/>
    <n v="110.5"/>
    <x v="35"/>
    <m/>
    <x v="0"/>
  </r>
  <r>
    <x v="2"/>
    <x v="1"/>
    <x v="0"/>
    <s v="January,2014"/>
    <n v="119.6"/>
    <n v="118.8"/>
    <n v="124.1"/>
    <n v="114.1"/>
    <n v="106.8"/>
    <n v="113.9"/>
    <n v="122.2"/>
    <n v="108.9"/>
    <n v="100.2"/>
    <n v="111"/>
    <n v="112.3"/>
    <n v="118.1"/>
    <x v="36"/>
    <n v="114.5"/>
    <n v="115.8"/>
    <n v="113.2"/>
    <n v="115.4"/>
    <n v="111.6"/>
    <x v="31"/>
    <n v="112.3"/>
    <x v="31"/>
    <n v="110.7"/>
    <n v="109.7"/>
    <n v="111.6"/>
    <x v="23"/>
    <n v="110.6"/>
    <x v="36"/>
    <m/>
    <x v="0"/>
  </r>
  <r>
    <x v="0"/>
    <x v="1"/>
    <x v="1"/>
    <s v="February,2014"/>
    <n v="119.4"/>
    <n v="117.7"/>
    <n v="121.2"/>
    <n v="115"/>
    <n v="109"/>
    <n v="116.6"/>
    <n v="116"/>
    <n v="109.8"/>
    <n v="101.1"/>
    <n v="110.4"/>
    <n v="112.9"/>
    <n v="117.8"/>
    <x v="37"/>
    <n v="114.2"/>
    <n v="117.1"/>
    <n v="114.5"/>
    <n v="116.7"/>
    <s v="NA"/>
    <x v="32"/>
    <n v="112.9"/>
    <x v="32"/>
    <n v="110.8"/>
    <n v="109.9"/>
    <n v="112"/>
    <x v="29"/>
    <n v="110.9"/>
    <x v="28"/>
    <m/>
    <x v="0"/>
  </r>
  <r>
    <x v="1"/>
    <x v="1"/>
    <x v="1"/>
    <s v="February,2014"/>
    <n v="121.9"/>
    <n v="122"/>
    <n v="124.5"/>
    <n v="115.2"/>
    <n v="102.5"/>
    <n v="114.1"/>
    <n v="111.5"/>
    <n v="108.2"/>
    <n v="95.4"/>
    <n v="113.5"/>
    <n v="112.1"/>
    <n v="119.9"/>
    <x v="38"/>
    <n v="116.2"/>
    <n v="115.3"/>
    <n v="111.7"/>
    <n v="114.7"/>
    <n v="112.5"/>
    <x v="20"/>
    <n v="112.6"/>
    <x v="33"/>
    <n v="111.3"/>
    <n v="110.3"/>
    <n v="111.6"/>
    <x v="29"/>
    <n v="111"/>
    <x v="37"/>
    <m/>
    <x v="0"/>
  </r>
  <r>
    <x v="2"/>
    <x v="1"/>
    <x v="1"/>
    <s v="February,2014"/>
    <n v="120.2"/>
    <n v="119.2"/>
    <n v="122.5"/>
    <n v="115.1"/>
    <n v="106.6"/>
    <n v="115.4"/>
    <n v="114.5"/>
    <n v="109.3"/>
    <n v="99.2"/>
    <n v="111.4"/>
    <n v="112.6"/>
    <n v="118.8"/>
    <x v="37"/>
    <n v="114.7"/>
    <n v="116.4"/>
    <n v="113.3"/>
    <n v="115.9"/>
    <n v="112.5"/>
    <x v="33"/>
    <n v="112.8"/>
    <x v="34"/>
    <n v="111.1"/>
    <n v="110.1"/>
    <n v="111.8"/>
    <x v="29"/>
    <n v="110.9"/>
    <x v="36"/>
    <m/>
    <x v="0"/>
  </r>
  <r>
    <x v="0"/>
    <x v="1"/>
    <x v="2"/>
    <s v="March,2014"/>
    <n v="120.1"/>
    <n v="118.1"/>
    <n v="120.7"/>
    <n v="116.1"/>
    <n v="109.3"/>
    <n v="119.6"/>
    <n v="117.9"/>
    <n v="110.2"/>
    <n v="101.2"/>
    <n v="110.7"/>
    <n v="113"/>
    <n v="118.3"/>
    <x v="39"/>
    <n v="114.6"/>
    <n v="117.5"/>
    <n v="114.9"/>
    <n v="117.2"/>
    <s v="NA"/>
    <x v="34"/>
    <n v="113.4"/>
    <x v="35"/>
    <n v="111.2"/>
    <n v="110.2"/>
    <n v="112.4"/>
    <x v="30"/>
    <n v="111.3"/>
    <x v="38"/>
    <m/>
    <x v="0"/>
  </r>
  <r>
    <x v="1"/>
    <x v="1"/>
    <x v="2"/>
    <s v="March,2014"/>
    <n v="122.1"/>
    <n v="121.4"/>
    <n v="121.5"/>
    <n v="116.2"/>
    <n v="102.8"/>
    <n v="117.7"/>
    <n v="113.3"/>
    <n v="108.9"/>
    <n v="96.3"/>
    <n v="114.1"/>
    <n v="112.2"/>
    <n v="120.5"/>
    <x v="34"/>
    <n v="116.7"/>
    <n v="115.8"/>
    <n v="112.1"/>
    <n v="115.2"/>
    <n v="113.2"/>
    <x v="23"/>
    <n v="113"/>
    <x v="36"/>
    <n v="111.6"/>
    <n v="110.9"/>
    <n v="111.8"/>
    <x v="31"/>
    <n v="111.4"/>
    <x v="26"/>
    <m/>
    <x v="0"/>
  </r>
  <r>
    <x v="2"/>
    <x v="1"/>
    <x v="2"/>
    <s v="March,2014"/>
    <n v="120.7"/>
    <n v="119.3"/>
    <n v="121"/>
    <n v="116.1"/>
    <n v="106.9"/>
    <n v="118.7"/>
    <n v="116.3"/>
    <n v="109.8"/>
    <n v="99.6"/>
    <n v="111.8"/>
    <n v="112.7"/>
    <n v="119.3"/>
    <x v="40"/>
    <n v="115.2"/>
    <n v="116.8"/>
    <n v="113.7"/>
    <n v="116.4"/>
    <n v="113.2"/>
    <x v="35"/>
    <n v="113.2"/>
    <x v="37"/>
    <n v="111.4"/>
    <n v="110.6"/>
    <n v="112"/>
    <x v="32"/>
    <n v="111.3"/>
    <x v="24"/>
    <m/>
    <x v="0"/>
  </r>
  <r>
    <x v="0"/>
    <x v="1"/>
    <x v="3"/>
    <s v="April,2014"/>
    <n v="120.2"/>
    <n v="118.9"/>
    <n v="118.1"/>
    <n v="117"/>
    <n v="109.7"/>
    <n v="125.5"/>
    <n v="120.5"/>
    <n v="111"/>
    <n v="102.6"/>
    <n v="111.2"/>
    <n v="113.5"/>
    <n v="118.7"/>
    <x v="41"/>
    <n v="115.4"/>
    <n v="118.1"/>
    <n v="116.1"/>
    <n v="117.8"/>
    <s v="NA"/>
    <x v="34"/>
    <n v="113.7"/>
    <x v="38"/>
    <n v="111.2"/>
    <n v="110.5"/>
    <n v="113"/>
    <x v="30"/>
    <n v="111.5"/>
    <x v="39"/>
    <m/>
    <x v="0"/>
  </r>
  <r>
    <x v="1"/>
    <x v="1"/>
    <x v="3"/>
    <s v="April,2014"/>
    <n v="122.5"/>
    <n v="121.7"/>
    <n v="113.3"/>
    <n v="117"/>
    <n v="103.1"/>
    <n v="126.7"/>
    <n v="121.2"/>
    <n v="111"/>
    <n v="100.3"/>
    <n v="115.3"/>
    <n v="112.7"/>
    <n v="121"/>
    <x v="42"/>
    <n v="117.6"/>
    <n v="116.3"/>
    <n v="112.5"/>
    <n v="115.7"/>
    <n v="113.9"/>
    <x v="23"/>
    <n v="113.4"/>
    <x v="39"/>
    <n v="111.2"/>
    <n v="111.2"/>
    <n v="112.5"/>
    <x v="33"/>
    <n v="111.4"/>
    <x v="40"/>
    <m/>
    <x v="0"/>
  </r>
  <r>
    <x v="2"/>
    <x v="1"/>
    <x v="3"/>
    <s v="April,2014"/>
    <n v="120.9"/>
    <n v="119.9"/>
    <n v="116.2"/>
    <n v="117"/>
    <n v="107.3"/>
    <n v="126.1"/>
    <n v="120.7"/>
    <n v="111"/>
    <n v="101.8"/>
    <n v="112.6"/>
    <n v="113.2"/>
    <n v="119.8"/>
    <x v="43"/>
    <n v="116"/>
    <n v="117.4"/>
    <n v="114.6"/>
    <n v="117"/>
    <n v="113.9"/>
    <x v="35"/>
    <n v="113.6"/>
    <x v="40"/>
    <n v="111.2"/>
    <n v="110.9"/>
    <n v="112.7"/>
    <x v="32"/>
    <n v="111.5"/>
    <x v="41"/>
    <m/>
    <x v="0"/>
  </r>
  <r>
    <x v="0"/>
    <x v="1"/>
    <x v="4"/>
    <s v="May,2014"/>
    <n v="120.3"/>
    <n v="120.2"/>
    <n v="116.9"/>
    <n v="118"/>
    <n v="110.1"/>
    <n v="126.3"/>
    <n v="123.9"/>
    <n v="111.5"/>
    <n v="103.5"/>
    <n v="111.6"/>
    <n v="114.2"/>
    <n v="119.2"/>
    <x v="42"/>
    <n v="116.3"/>
    <n v="118.7"/>
    <n v="116.8"/>
    <n v="118.5"/>
    <s v="NA"/>
    <x v="34"/>
    <n v="114.1"/>
    <x v="41"/>
    <n v="111.4"/>
    <n v="110.9"/>
    <n v="113.1"/>
    <x v="30"/>
    <n v="111.8"/>
    <x v="42"/>
    <m/>
    <x v="0"/>
  </r>
  <r>
    <x v="1"/>
    <x v="1"/>
    <x v="4"/>
    <s v="May,2014"/>
    <n v="122.7"/>
    <n v="124.1"/>
    <n v="114.2"/>
    <n v="119.1"/>
    <n v="103.5"/>
    <n v="129.19999999999999"/>
    <n v="127"/>
    <n v="112.6"/>
    <n v="101.3"/>
    <n v="117"/>
    <n v="112.9"/>
    <n v="121.7"/>
    <x v="44"/>
    <n v="118.3"/>
    <n v="116.8"/>
    <n v="112.9"/>
    <n v="116.2"/>
    <n v="114.3"/>
    <x v="20"/>
    <n v="114.1"/>
    <x v="37"/>
    <n v="111.3"/>
    <n v="111.5"/>
    <n v="112.9"/>
    <x v="34"/>
    <n v="111.7"/>
    <x v="43"/>
    <m/>
    <x v="0"/>
  </r>
  <r>
    <x v="2"/>
    <x v="1"/>
    <x v="4"/>
    <s v="May,2014"/>
    <n v="121.1"/>
    <n v="121.6"/>
    <n v="115.9"/>
    <n v="118.4"/>
    <n v="107.7"/>
    <n v="127.7"/>
    <n v="125"/>
    <n v="111.9"/>
    <n v="102.8"/>
    <n v="113.4"/>
    <n v="113.7"/>
    <n v="120.4"/>
    <x v="45"/>
    <n v="116.8"/>
    <n v="118"/>
    <n v="115.2"/>
    <n v="117.6"/>
    <n v="114.3"/>
    <x v="35"/>
    <n v="114.1"/>
    <x v="38"/>
    <n v="111.3"/>
    <n v="111.2"/>
    <n v="113"/>
    <x v="33"/>
    <n v="111.8"/>
    <x v="44"/>
    <m/>
    <x v="0"/>
  </r>
  <r>
    <x v="0"/>
    <x v="1"/>
    <x v="5"/>
    <s v="June,2014"/>
    <n v="120.7"/>
    <n v="121.6"/>
    <n v="116.1"/>
    <n v="119.3"/>
    <n v="110.3"/>
    <n v="125.8"/>
    <n v="129.30000000000001"/>
    <n v="112.2"/>
    <n v="103.6"/>
    <n v="112.3"/>
    <n v="114.9"/>
    <n v="120.1"/>
    <x v="46"/>
    <n v="117.3"/>
    <n v="119.7"/>
    <n v="117.3"/>
    <n v="119.3"/>
    <s v="NA"/>
    <x v="36"/>
    <n v="114.9"/>
    <x v="42"/>
    <n v="112.2"/>
    <n v="111.4"/>
    <n v="114.3"/>
    <x v="28"/>
    <n v="112.3"/>
    <x v="45"/>
    <m/>
    <x v="0"/>
  </r>
  <r>
    <x v="1"/>
    <x v="1"/>
    <x v="5"/>
    <s v="June,2014"/>
    <n v="123.1"/>
    <n v="125.9"/>
    <n v="115.4"/>
    <n v="120.4"/>
    <n v="103.4"/>
    <n v="131.19999999999999"/>
    <n v="137.5"/>
    <n v="112.8"/>
    <n v="101.4"/>
    <n v="118.3"/>
    <n v="113.2"/>
    <n v="122.4"/>
    <x v="47"/>
    <n v="119"/>
    <n v="117.4"/>
    <n v="113.2"/>
    <n v="116.7"/>
    <n v="113.9"/>
    <x v="37"/>
    <n v="114.3"/>
    <x v="35"/>
    <n v="111.5"/>
    <n v="111.8"/>
    <n v="115.1"/>
    <x v="29"/>
    <n v="112.2"/>
    <x v="46"/>
    <m/>
    <x v="0"/>
  </r>
  <r>
    <x v="2"/>
    <x v="1"/>
    <x v="5"/>
    <s v="June,2014"/>
    <n v="121.5"/>
    <n v="123.1"/>
    <n v="115.8"/>
    <n v="119.7"/>
    <n v="107.8"/>
    <n v="128.30000000000001"/>
    <n v="132.1"/>
    <n v="112.4"/>
    <n v="102.9"/>
    <n v="114.3"/>
    <n v="114.2"/>
    <n v="121.2"/>
    <x v="48"/>
    <n v="117.8"/>
    <n v="118.8"/>
    <n v="115.6"/>
    <n v="118.3"/>
    <n v="113.9"/>
    <x v="32"/>
    <n v="114.6"/>
    <x v="43"/>
    <n v="111.8"/>
    <n v="111.6"/>
    <n v="114.8"/>
    <x v="27"/>
    <n v="112.3"/>
    <x v="47"/>
    <m/>
    <x v="0"/>
  </r>
  <r>
    <x v="0"/>
    <x v="1"/>
    <x v="6"/>
    <s v="July,2014"/>
    <n v="121.7"/>
    <n v="122.5"/>
    <n v="117.7"/>
    <n v="120.6"/>
    <n v="110.4"/>
    <n v="129.1"/>
    <n v="150.1"/>
    <n v="113.2"/>
    <n v="104.8"/>
    <n v="113.3"/>
    <n v="115.6"/>
    <n v="120.9"/>
    <x v="49"/>
    <n v="118"/>
    <n v="120.7"/>
    <n v="118.3"/>
    <n v="120.3"/>
    <s v="NA"/>
    <x v="38"/>
    <n v="115.4"/>
    <x v="44"/>
    <n v="113.2"/>
    <n v="111.8"/>
    <n v="115.5"/>
    <x v="35"/>
    <n v="113.1"/>
    <x v="48"/>
    <m/>
    <x v="0"/>
  </r>
  <r>
    <x v="1"/>
    <x v="1"/>
    <x v="6"/>
    <s v="July,2014"/>
    <n v="123.8"/>
    <n v="126.4"/>
    <n v="118"/>
    <n v="121.6"/>
    <n v="103.5"/>
    <n v="133.69999999999999"/>
    <n v="172.4"/>
    <n v="113.1"/>
    <n v="102.7"/>
    <n v="120"/>
    <n v="113.8"/>
    <n v="123.4"/>
    <x v="50"/>
    <n v="121"/>
    <n v="118"/>
    <n v="113.6"/>
    <n v="117.4"/>
    <n v="114.8"/>
    <x v="22"/>
    <n v="114.9"/>
    <x v="40"/>
    <n v="113"/>
    <n v="112.4"/>
    <n v="117.8"/>
    <x v="36"/>
    <n v="113.5"/>
    <x v="49"/>
    <m/>
    <x v="0"/>
  </r>
  <r>
    <x v="2"/>
    <x v="1"/>
    <x v="6"/>
    <s v="July,2014"/>
    <n v="122.4"/>
    <n v="123.9"/>
    <n v="117.8"/>
    <n v="121"/>
    <n v="107.9"/>
    <n v="131.19999999999999"/>
    <n v="157.69999999999999"/>
    <n v="113.2"/>
    <n v="104.1"/>
    <n v="115.5"/>
    <n v="114.8"/>
    <n v="122.1"/>
    <x v="51"/>
    <n v="118.8"/>
    <n v="119.6"/>
    <n v="116.3"/>
    <n v="119.1"/>
    <n v="114.8"/>
    <x v="39"/>
    <n v="115.2"/>
    <x v="45"/>
    <n v="113.1"/>
    <n v="112.1"/>
    <n v="116.8"/>
    <x v="31"/>
    <n v="113.3"/>
    <x v="50"/>
    <m/>
    <x v="0"/>
  </r>
  <r>
    <x v="0"/>
    <x v="1"/>
    <x v="7"/>
    <s v="August,2014"/>
    <n v="121.8"/>
    <n v="122.8"/>
    <n v="117.8"/>
    <n v="121.9"/>
    <n v="110.6"/>
    <n v="129.69999999999999"/>
    <n v="161.1"/>
    <n v="114.1"/>
    <n v="105.1"/>
    <n v="114.6"/>
    <n v="115.8"/>
    <n v="121.7"/>
    <x v="52"/>
    <n v="118.8"/>
    <n v="120.9"/>
    <n v="118.8"/>
    <n v="120.7"/>
    <s v="NA"/>
    <x v="40"/>
    <n v="115.9"/>
    <x v="46"/>
    <n v="113.2"/>
    <n v="112.2"/>
    <n v="116.2"/>
    <x v="37"/>
    <n v="113.5"/>
    <x v="51"/>
    <m/>
    <x v="0"/>
  </r>
  <r>
    <x v="1"/>
    <x v="1"/>
    <x v="7"/>
    <s v="August,2014"/>
    <n v="124.8"/>
    <n v="127.3"/>
    <n v="116.5"/>
    <n v="122.2"/>
    <n v="103.6"/>
    <n v="132.69999999999999"/>
    <n v="181.9"/>
    <n v="115.2"/>
    <n v="102.7"/>
    <n v="122.1"/>
    <n v="114.4"/>
    <n v="124.7"/>
    <x v="53"/>
    <n v="123"/>
    <n v="118.6"/>
    <n v="114.1"/>
    <n v="117.9"/>
    <n v="115.5"/>
    <x v="41"/>
    <n v="115.3"/>
    <x v="47"/>
    <n v="112.5"/>
    <n v="112.9"/>
    <n v="119.2"/>
    <x v="38"/>
    <n v="113.9"/>
    <x v="52"/>
    <m/>
    <x v="0"/>
  </r>
  <r>
    <x v="2"/>
    <x v="1"/>
    <x v="7"/>
    <s v="August,2014"/>
    <n v="122.7"/>
    <n v="124.4"/>
    <n v="117.3"/>
    <n v="122"/>
    <n v="108"/>
    <n v="131.1"/>
    <n v="168.2"/>
    <n v="114.5"/>
    <n v="104.3"/>
    <n v="117.1"/>
    <n v="115.2"/>
    <n v="123.1"/>
    <x v="54"/>
    <n v="119.9"/>
    <n v="120"/>
    <n v="116.8"/>
    <n v="119.6"/>
    <n v="115.5"/>
    <x v="42"/>
    <n v="115.6"/>
    <x v="48"/>
    <n v="112.8"/>
    <n v="112.6"/>
    <n v="118"/>
    <x v="39"/>
    <n v="113.7"/>
    <x v="53"/>
    <m/>
    <x v="0"/>
  </r>
  <r>
    <x v="0"/>
    <x v="1"/>
    <x v="8"/>
    <s v="September,2014"/>
    <n v="122.3"/>
    <n v="122.4"/>
    <n v="117.8"/>
    <n v="122.7"/>
    <n v="110.4"/>
    <n v="129.80000000000001"/>
    <n v="158.80000000000001"/>
    <n v="115"/>
    <n v="104.7"/>
    <n v="114.9"/>
    <n v="116.5"/>
    <n v="122.6"/>
    <x v="52"/>
    <n v="119.5"/>
    <n v="121.7"/>
    <n v="119.2"/>
    <n v="121.3"/>
    <s v="NA"/>
    <x v="43"/>
    <n v="116.7"/>
    <x v="49"/>
    <n v="112.8"/>
    <n v="112.6"/>
    <n v="116.6"/>
    <x v="33"/>
    <n v="113.7"/>
    <x v="54"/>
    <m/>
    <x v="0"/>
  </r>
  <r>
    <x v="1"/>
    <x v="1"/>
    <x v="8"/>
    <s v="September,2014"/>
    <n v="124.2"/>
    <n v="125.4"/>
    <n v="116.4"/>
    <n v="122.7"/>
    <n v="103.5"/>
    <n v="124.5"/>
    <n v="168.6"/>
    <n v="116.9"/>
    <n v="101.9"/>
    <n v="122.9"/>
    <n v="114.8"/>
    <n v="125.2"/>
    <x v="55"/>
    <n v="124.3"/>
    <n v="119.2"/>
    <n v="114.5"/>
    <n v="118.4"/>
    <n v="116.1"/>
    <x v="41"/>
    <n v="115.5"/>
    <x v="43"/>
    <n v="111.2"/>
    <n v="113.4"/>
    <n v="120"/>
    <x v="40"/>
    <n v="113.6"/>
    <x v="50"/>
    <m/>
    <x v="0"/>
  </r>
  <r>
    <x v="2"/>
    <x v="1"/>
    <x v="8"/>
    <s v="September,2014"/>
    <n v="122.9"/>
    <n v="123.5"/>
    <n v="117.3"/>
    <n v="122.7"/>
    <n v="107.9"/>
    <n v="127.3"/>
    <n v="162.1"/>
    <n v="115.6"/>
    <n v="103.8"/>
    <n v="117.6"/>
    <n v="115.8"/>
    <n v="123.8"/>
    <x v="56"/>
    <n v="120.8"/>
    <n v="120.7"/>
    <n v="117.2"/>
    <n v="120.1"/>
    <n v="116.1"/>
    <x v="44"/>
    <n v="116.1"/>
    <x v="50"/>
    <n v="112"/>
    <n v="113.1"/>
    <n v="118.6"/>
    <x v="41"/>
    <n v="113.7"/>
    <x v="55"/>
    <m/>
    <x v="0"/>
  </r>
  <r>
    <x v="0"/>
    <x v="1"/>
    <x v="9"/>
    <s v="October,2014"/>
    <n v="122.6"/>
    <n v="122.5"/>
    <n v="118.3"/>
    <n v="123.2"/>
    <n v="110.5"/>
    <n v="128.9"/>
    <n v="155.30000000000001"/>
    <n v="115.5"/>
    <n v="104"/>
    <n v="115.3"/>
    <n v="116.8"/>
    <n v="123.2"/>
    <x v="57"/>
    <n v="120"/>
    <n v="122.7"/>
    <n v="120.3"/>
    <n v="122.3"/>
    <s v="NA"/>
    <x v="45"/>
    <n v="117.5"/>
    <x v="51"/>
    <n v="112.6"/>
    <n v="113"/>
    <n v="116.9"/>
    <x v="34"/>
    <n v="114"/>
    <x v="56"/>
    <m/>
    <x v="0"/>
  </r>
  <r>
    <x v="1"/>
    <x v="1"/>
    <x v="9"/>
    <s v="October,2014"/>
    <n v="124.6"/>
    <n v="126.1"/>
    <n v="117.8"/>
    <n v="123.1"/>
    <n v="103.5"/>
    <n v="123.5"/>
    <n v="159.6"/>
    <n v="117.4"/>
    <n v="101.2"/>
    <n v="123.8"/>
    <n v="115.2"/>
    <n v="125.9"/>
    <x v="56"/>
    <n v="124.3"/>
    <n v="119.6"/>
    <n v="114.9"/>
    <n v="118.9"/>
    <n v="116.7"/>
    <x v="46"/>
    <n v="115.8"/>
    <x v="52"/>
    <n v="111"/>
    <n v="113.6"/>
    <n v="120.2"/>
    <x v="42"/>
    <n v="113.7"/>
    <x v="57"/>
    <m/>
    <x v="0"/>
  </r>
  <r>
    <x v="2"/>
    <x v="1"/>
    <x v="9"/>
    <s v="October,2014"/>
    <n v="123.2"/>
    <n v="123.8"/>
    <n v="118.1"/>
    <n v="123.2"/>
    <n v="107.9"/>
    <n v="126.4"/>
    <n v="156.80000000000001"/>
    <n v="116.1"/>
    <n v="103.1"/>
    <n v="118.1"/>
    <n v="116.1"/>
    <n v="124.5"/>
    <x v="58"/>
    <n v="121.1"/>
    <n v="121.5"/>
    <n v="118.1"/>
    <n v="121"/>
    <n v="116.7"/>
    <x v="47"/>
    <n v="116.7"/>
    <x v="53"/>
    <n v="111.8"/>
    <n v="113.3"/>
    <n v="118.8"/>
    <x v="43"/>
    <n v="113.9"/>
    <x v="55"/>
    <m/>
    <x v="0"/>
  </r>
  <r>
    <x v="0"/>
    <x v="1"/>
    <x v="11"/>
    <s v="November,2014"/>
    <n v="122.7"/>
    <n v="122.6"/>
    <n v="119.9"/>
    <n v="124"/>
    <n v="110.5"/>
    <n v="128.80000000000001"/>
    <n v="152"/>
    <n v="116.2"/>
    <n v="103.3"/>
    <n v="115.8"/>
    <n v="116.8"/>
    <n v="124.5"/>
    <x v="59"/>
    <n v="120.8"/>
    <n v="123.3"/>
    <n v="120.5"/>
    <n v="122.9"/>
    <s v="NA"/>
    <x v="48"/>
    <n v="118.1"/>
    <x v="54"/>
    <n v="112"/>
    <n v="113.3"/>
    <n v="117.2"/>
    <x v="35"/>
    <n v="114.1"/>
    <x v="58"/>
    <m/>
    <x v="0"/>
  </r>
  <r>
    <x v="1"/>
    <x v="1"/>
    <x v="11"/>
    <s v="November,2014"/>
    <n v="124.5"/>
    <n v="125.6"/>
    <n v="122.7"/>
    <n v="124.6"/>
    <n v="103.2"/>
    <n v="122.2"/>
    <n v="153.19999999999999"/>
    <n v="119.3"/>
    <n v="99.8"/>
    <n v="124.6"/>
    <n v="115.8"/>
    <n v="126.9"/>
    <x v="58"/>
    <n v="125.8"/>
    <n v="120.3"/>
    <n v="115.4"/>
    <n v="119.5"/>
    <n v="117.1"/>
    <x v="24"/>
    <n v="116.4"/>
    <x v="55"/>
    <n v="109.7"/>
    <n v="114"/>
    <n v="120.3"/>
    <x v="43"/>
    <n v="113.4"/>
    <x v="59"/>
    <m/>
    <x v="0"/>
  </r>
  <r>
    <x v="2"/>
    <x v="1"/>
    <x v="11"/>
    <s v="November,2014"/>
    <n v="123.3"/>
    <n v="123.7"/>
    <n v="121"/>
    <n v="124.2"/>
    <n v="107.8"/>
    <n v="125.7"/>
    <n v="152.4"/>
    <n v="117.2"/>
    <n v="102.1"/>
    <n v="118.7"/>
    <n v="116.4"/>
    <n v="125.6"/>
    <x v="57"/>
    <n v="122.1"/>
    <n v="122.1"/>
    <n v="118.4"/>
    <n v="121.6"/>
    <n v="117.1"/>
    <x v="49"/>
    <n v="117.3"/>
    <x v="56"/>
    <n v="110.8"/>
    <n v="113.7"/>
    <n v="119"/>
    <x v="33"/>
    <n v="113.8"/>
    <x v="55"/>
    <m/>
    <x v="0"/>
  </r>
  <r>
    <x v="0"/>
    <x v="1"/>
    <x v="12"/>
    <s v="December,2014"/>
    <n v="122.4"/>
    <n v="122.4"/>
    <n v="121.8"/>
    <n v="124.2"/>
    <n v="110.2"/>
    <n v="128.6"/>
    <n v="140.30000000000001"/>
    <n v="116.3"/>
    <n v="102"/>
    <n v="116"/>
    <n v="117.3"/>
    <n v="124.8"/>
    <x v="49"/>
    <n v="121.7"/>
    <n v="123.8"/>
    <n v="120.6"/>
    <n v="123.3"/>
    <s v="NA"/>
    <x v="50"/>
    <n v="118.2"/>
    <x v="57"/>
    <n v="111.5"/>
    <n v="113.3"/>
    <n v="117.7"/>
    <x v="37"/>
    <n v="114.2"/>
    <x v="53"/>
    <m/>
    <x v="0"/>
  </r>
  <r>
    <x v="1"/>
    <x v="1"/>
    <x v="12"/>
    <s v="December,2014"/>
    <n v="124"/>
    <n v="124.7"/>
    <n v="126.3"/>
    <n v="124.9"/>
    <n v="103"/>
    <n v="122.3"/>
    <n v="141"/>
    <n v="120.1"/>
    <n v="97.8"/>
    <n v="125.4"/>
    <n v="116.1"/>
    <n v="127.6"/>
    <x v="60"/>
    <n v="126.4"/>
    <n v="120.7"/>
    <n v="115.8"/>
    <n v="120"/>
    <n v="116.5"/>
    <x v="29"/>
    <n v="116.8"/>
    <x v="58"/>
    <n v="108.8"/>
    <n v="114.3"/>
    <n v="120.7"/>
    <x v="44"/>
    <n v="113.4"/>
    <x v="60"/>
    <m/>
    <x v="0"/>
  </r>
  <r>
    <x v="2"/>
    <x v="1"/>
    <x v="12"/>
    <s v="December,2014"/>
    <n v="122.9"/>
    <n v="123.2"/>
    <n v="123.5"/>
    <n v="124.5"/>
    <n v="107.6"/>
    <n v="125.7"/>
    <n v="140.5"/>
    <n v="117.6"/>
    <n v="100.6"/>
    <n v="119.1"/>
    <n v="116.8"/>
    <n v="126.1"/>
    <x v="61"/>
    <n v="123"/>
    <n v="122.6"/>
    <n v="118.6"/>
    <n v="122"/>
    <n v="116.5"/>
    <x v="51"/>
    <n v="117.5"/>
    <x v="59"/>
    <n v="110.1"/>
    <n v="113.9"/>
    <n v="119.5"/>
    <x v="45"/>
    <n v="113.8"/>
    <x v="61"/>
    <m/>
    <x v="0"/>
  </r>
  <r>
    <x v="0"/>
    <x v="2"/>
    <x v="0"/>
    <s v="January,2015"/>
    <n v="123.1"/>
    <n v="123.1"/>
    <n v="122.1"/>
    <n v="124.9"/>
    <n v="111"/>
    <n v="130.4"/>
    <n v="132.30000000000001"/>
    <n v="117.2"/>
    <n v="100.5"/>
    <n v="117.2"/>
    <n v="117.9"/>
    <n v="125.6"/>
    <x v="62"/>
    <n v="122.7"/>
    <n v="124.4"/>
    <n v="121.6"/>
    <n v="124"/>
    <s v="NA"/>
    <x v="52"/>
    <n v="118.9"/>
    <x v="60"/>
    <n v="111"/>
    <n v="114"/>
    <n v="118.2"/>
    <x v="46"/>
    <n v="114.5"/>
    <x v="53"/>
    <m/>
    <x v="0"/>
  </r>
  <r>
    <x v="1"/>
    <x v="2"/>
    <x v="0"/>
    <s v="January,2015"/>
    <n v="124"/>
    <n v="125.5"/>
    <n v="126.6"/>
    <n v="125.2"/>
    <n v="104.3"/>
    <n v="121.3"/>
    <n v="134.4"/>
    <n v="122.9"/>
    <n v="96.1"/>
    <n v="126.6"/>
    <n v="116.5"/>
    <n v="128"/>
    <x v="63"/>
    <n v="127.4"/>
    <n v="121"/>
    <n v="116.1"/>
    <n v="120.2"/>
    <n v="117.3"/>
    <x v="34"/>
    <n v="117.2"/>
    <x v="50"/>
    <n v="107.9"/>
    <n v="114.6"/>
    <n v="120.8"/>
    <x v="47"/>
    <n v="113.4"/>
    <x v="62"/>
    <m/>
    <x v="0"/>
  </r>
  <r>
    <x v="2"/>
    <x v="2"/>
    <x v="0"/>
    <s v="January,2015"/>
    <n v="123.4"/>
    <n v="123.9"/>
    <n v="123.8"/>
    <n v="125"/>
    <n v="108.5"/>
    <n v="126.2"/>
    <n v="133"/>
    <n v="119.1"/>
    <n v="99"/>
    <n v="120.3"/>
    <n v="117.3"/>
    <n v="126.7"/>
    <x v="64"/>
    <n v="124"/>
    <n v="123.1"/>
    <n v="119.3"/>
    <n v="122.5"/>
    <n v="117.3"/>
    <x v="53"/>
    <n v="118.1"/>
    <x v="61"/>
    <n v="109.4"/>
    <n v="114.3"/>
    <n v="119.7"/>
    <x v="48"/>
    <n v="114"/>
    <x v="48"/>
    <m/>
    <x v="0"/>
  </r>
  <r>
    <x v="0"/>
    <x v="2"/>
    <x v="1"/>
    <s v="February,2015"/>
    <n v="123.4"/>
    <n v="124.4"/>
    <n v="122.1"/>
    <n v="125.8"/>
    <n v="111.5"/>
    <n v="129.4"/>
    <n v="128.19999999999999"/>
    <n v="118.8"/>
    <n v="100"/>
    <n v="118.6"/>
    <n v="118.8"/>
    <n v="126.8"/>
    <x v="62"/>
    <n v="124.2"/>
    <n v="125.4"/>
    <n v="122.7"/>
    <n v="125"/>
    <s v="NA"/>
    <x v="54"/>
    <n v="119.6"/>
    <x v="62"/>
    <n v="110.9"/>
    <n v="114.8"/>
    <n v="118.7"/>
    <x v="49"/>
    <n v="115"/>
    <x v="63"/>
    <m/>
    <x v="0"/>
  </r>
  <r>
    <x v="1"/>
    <x v="2"/>
    <x v="1"/>
    <s v="February,2015"/>
    <n v="124.3"/>
    <n v="126.5"/>
    <n v="119.5"/>
    <n v="125.6"/>
    <n v="104.9"/>
    <n v="121.6"/>
    <n v="131.80000000000001"/>
    <n v="125.1"/>
    <n v="95"/>
    <n v="127.7"/>
    <n v="116.8"/>
    <n v="128.6"/>
    <x v="65"/>
    <n v="128.1"/>
    <n v="121.3"/>
    <n v="116.5"/>
    <n v="120.6"/>
    <n v="118.1"/>
    <x v="42"/>
    <n v="117.7"/>
    <x v="63"/>
    <n v="106.8"/>
    <n v="114.9"/>
    <n v="120.4"/>
    <x v="50"/>
    <n v="113.2"/>
    <x v="64"/>
    <m/>
    <x v="0"/>
  </r>
  <r>
    <x v="2"/>
    <x v="2"/>
    <x v="1"/>
    <s v="February,2015"/>
    <n v="123.7"/>
    <n v="125.1"/>
    <n v="121.1"/>
    <n v="125.7"/>
    <n v="109.1"/>
    <n v="125.8"/>
    <n v="129.4"/>
    <n v="120.9"/>
    <n v="98.3"/>
    <n v="121.6"/>
    <n v="118"/>
    <n v="127.6"/>
    <x v="64"/>
    <n v="125.2"/>
    <n v="123.8"/>
    <n v="120.1"/>
    <n v="123.3"/>
    <n v="118.1"/>
    <x v="55"/>
    <n v="118.7"/>
    <x v="64"/>
    <n v="108.7"/>
    <n v="114.9"/>
    <n v="119.7"/>
    <x v="51"/>
    <n v="114.1"/>
    <x v="65"/>
    <m/>
    <x v="0"/>
  </r>
  <r>
    <x v="0"/>
    <x v="2"/>
    <x v="2"/>
    <s v="March,2015"/>
    <n v="123.3"/>
    <n v="124.7"/>
    <n v="118.9"/>
    <n v="126"/>
    <n v="111.8"/>
    <n v="130.9"/>
    <n v="128"/>
    <n v="119.9"/>
    <n v="98.9"/>
    <n v="119.4"/>
    <n v="118.9"/>
    <n v="127.7"/>
    <x v="64"/>
    <n v="124.7"/>
    <n v="126"/>
    <n v="122.9"/>
    <n v="125.5"/>
    <s v="NA"/>
    <x v="56"/>
    <n v="120.2"/>
    <x v="65"/>
    <n v="111.6"/>
    <n v="115.5"/>
    <n v="119.4"/>
    <x v="49"/>
    <n v="115.5"/>
    <x v="58"/>
    <m/>
    <x v="0"/>
  </r>
  <r>
    <x v="1"/>
    <x v="2"/>
    <x v="2"/>
    <s v="March,2015"/>
    <n v="124"/>
    <n v="126.7"/>
    <n v="113.5"/>
    <n v="125.9"/>
    <n v="104.8"/>
    <n v="123.8"/>
    <n v="131.4"/>
    <n v="127.2"/>
    <n v="93.2"/>
    <n v="127.4"/>
    <n v="117"/>
    <n v="129.19999999999999"/>
    <x v="66"/>
    <n v="128.80000000000001"/>
    <n v="121.7"/>
    <n v="116.9"/>
    <n v="120.9"/>
    <n v="118.6"/>
    <x v="36"/>
    <n v="118"/>
    <x v="53"/>
    <n v="108.4"/>
    <n v="115.4"/>
    <n v="120.6"/>
    <x v="52"/>
    <n v="113.8"/>
    <x v="57"/>
    <m/>
    <x v="0"/>
  </r>
  <r>
    <x v="2"/>
    <x v="2"/>
    <x v="2"/>
    <s v="March,2015"/>
    <n v="123.5"/>
    <n v="125.4"/>
    <n v="116.8"/>
    <n v="126"/>
    <n v="109.2"/>
    <n v="127.6"/>
    <n v="129.19999999999999"/>
    <n v="122.4"/>
    <n v="97"/>
    <n v="122.1"/>
    <n v="118.1"/>
    <n v="128.4"/>
    <x v="67"/>
    <n v="125.8"/>
    <n v="124.3"/>
    <n v="120.4"/>
    <n v="123.7"/>
    <n v="118.6"/>
    <x v="57"/>
    <n v="119.2"/>
    <x v="66"/>
    <n v="109.9"/>
    <n v="115.4"/>
    <n v="120.1"/>
    <x v="53"/>
    <n v="114.7"/>
    <x v="66"/>
    <m/>
    <x v="0"/>
  </r>
  <r>
    <x v="0"/>
    <x v="2"/>
    <x v="3"/>
    <s v="April,2015"/>
    <n v="123.3"/>
    <n v="125.5"/>
    <n v="117.2"/>
    <n v="126.8"/>
    <n v="111.9"/>
    <n v="134.19999999999999"/>
    <n v="127.5"/>
    <n v="121.5"/>
    <n v="97.8"/>
    <n v="119.8"/>
    <n v="119.4"/>
    <n v="128.69999999999999"/>
    <x v="61"/>
    <n v="125.7"/>
    <n v="126.4"/>
    <n v="123.3"/>
    <n v="126"/>
    <s v="NA"/>
    <x v="58"/>
    <n v="120.9"/>
    <x v="67"/>
    <n v="111.9"/>
    <n v="116.2"/>
    <n v="119.9"/>
    <x v="54"/>
    <n v="116"/>
    <x v="67"/>
    <m/>
    <x v="0"/>
  </r>
  <r>
    <x v="1"/>
    <x v="2"/>
    <x v="3"/>
    <s v="April,2015"/>
    <n v="123.8"/>
    <n v="128.19999999999999"/>
    <n v="110"/>
    <n v="126.3"/>
    <n v="104.5"/>
    <n v="130.6"/>
    <n v="130.80000000000001"/>
    <n v="131.30000000000001"/>
    <n v="91.6"/>
    <n v="127.7"/>
    <n v="117.2"/>
    <n v="129.5"/>
    <x v="68"/>
    <n v="130.1"/>
    <n v="122.1"/>
    <n v="117.2"/>
    <n v="121.3"/>
    <n v="119.2"/>
    <x v="47"/>
    <n v="118.4"/>
    <x v="68"/>
    <n v="108.4"/>
    <n v="115.6"/>
    <n v="121.7"/>
    <x v="55"/>
    <n v="114.2"/>
    <x v="65"/>
    <m/>
    <x v="0"/>
  </r>
  <r>
    <x v="2"/>
    <x v="2"/>
    <x v="3"/>
    <s v="April,2015"/>
    <n v="123.5"/>
    <n v="126.4"/>
    <n v="114.4"/>
    <n v="126.6"/>
    <n v="109.2"/>
    <n v="132.5"/>
    <n v="128.6"/>
    <n v="124.8"/>
    <n v="95.7"/>
    <n v="122.4"/>
    <n v="118.5"/>
    <n v="129.1"/>
    <x v="60"/>
    <n v="126.9"/>
    <n v="124.7"/>
    <n v="120.8"/>
    <n v="124.1"/>
    <n v="119.2"/>
    <x v="59"/>
    <n v="119.7"/>
    <x v="69"/>
    <n v="110.1"/>
    <n v="115.9"/>
    <n v="121"/>
    <x v="50"/>
    <n v="115.1"/>
    <x v="51"/>
    <m/>
    <x v="0"/>
  </r>
  <r>
    <x v="0"/>
    <x v="2"/>
    <x v="4"/>
    <s v="May,2015"/>
    <n v="123.5"/>
    <n v="127.1"/>
    <n v="117.3"/>
    <n v="127.7"/>
    <n v="112.5"/>
    <n v="134.1"/>
    <n v="128.5"/>
    <n v="124.3"/>
    <n v="97.6"/>
    <n v="120.7"/>
    <n v="120.2"/>
    <n v="129.80000000000001"/>
    <x v="69"/>
    <n v="126.7"/>
    <n v="127.3"/>
    <n v="124.1"/>
    <n v="126.8"/>
    <s v="NA"/>
    <x v="60"/>
    <n v="121.5"/>
    <x v="70"/>
    <n v="113.3"/>
    <n v="116.7"/>
    <n v="120.5"/>
    <x v="56"/>
    <n v="116.9"/>
    <x v="68"/>
    <m/>
    <x v="0"/>
  </r>
  <r>
    <x v="1"/>
    <x v="2"/>
    <x v="4"/>
    <s v="May,2015"/>
    <n v="123.8"/>
    <n v="129.69999999999999"/>
    <n v="111.3"/>
    <n v="126.6"/>
    <n v="105.2"/>
    <n v="130.80000000000001"/>
    <n v="135.6"/>
    <n v="142.6"/>
    <n v="90.8"/>
    <n v="128.80000000000001"/>
    <n v="117.7"/>
    <n v="129.9"/>
    <x v="70"/>
    <n v="131.30000000000001"/>
    <n v="122.4"/>
    <n v="117.4"/>
    <n v="121.6"/>
    <n v="119.6"/>
    <x v="61"/>
    <n v="118.7"/>
    <x v="71"/>
    <n v="110.8"/>
    <n v="116"/>
    <n v="122"/>
    <x v="57"/>
    <n v="115.2"/>
    <x v="51"/>
    <m/>
    <x v="0"/>
  </r>
  <r>
    <x v="2"/>
    <x v="2"/>
    <x v="4"/>
    <s v="May,2015"/>
    <n v="123.6"/>
    <n v="128"/>
    <n v="115"/>
    <n v="127.3"/>
    <n v="109.8"/>
    <n v="132.6"/>
    <n v="130.9"/>
    <n v="130.5"/>
    <n v="95.3"/>
    <n v="123.4"/>
    <n v="119.2"/>
    <n v="129.80000000000001"/>
    <x v="71"/>
    <n v="127.9"/>
    <n v="125.4"/>
    <n v="121.3"/>
    <n v="124.7"/>
    <n v="119.6"/>
    <x v="62"/>
    <n v="120.2"/>
    <x v="62"/>
    <n v="112"/>
    <n v="116.3"/>
    <n v="121.4"/>
    <x v="56"/>
    <n v="116.1"/>
    <x v="69"/>
    <m/>
    <x v="0"/>
  </r>
  <r>
    <x v="0"/>
    <x v="2"/>
    <x v="5"/>
    <s v="June,2015"/>
    <n v="124.1"/>
    <n v="130.4"/>
    <n v="122.1"/>
    <n v="128.69999999999999"/>
    <n v="114.1"/>
    <n v="133.19999999999999"/>
    <n v="135.19999999999999"/>
    <n v="131.9"/>
    <n v="96.3"/>
    <n v="123"/>
    <n v="121.1"/>
    <n v="131.19999999999999"/>
    <x v="54"/>
    <n v="128.19999999999999"/>
    <n v="128.4"/>
    <n v="125.1"/>
    <n v="128"/>
    <s v="NA"/>
    <x v="63"/>
    <n v="122.8"/>
    <x v="72"/>
    <n v="114.2"/>
    <n v="117.9"/>
    <n v="122"/>
    <x v="58"/>
    <n v="117.9"/>
    <x v="70"/>
    <m/>
    <x v="0"/>
  </r>
  <r>
    <x v="1"/>
    <x v="2"/>
    <x v="5"/>
    <s v="June,2015"/>
    <n v="123.6"/>
    <n v="134.4"/>
    <n v="120.9"/>
    <n v="127.3"/>
    <n v="106"/>
    <n v="132.30000000000001"/>
    <n v="146.69999999999999"/>
    <n v="148.1"/>
    <n v="89.8"/>
    <n v="130.5"/>
    <n v="118"/>
    <n v="130.5"/>
    <x v="72"/>
    <n v="132.1"/>
    <n v="123.2"/>
    <n v="117.6"/>
    <n v="122.3"/>
    <n v="119"/>
    <x v="64"/>
    <n v="119.2"/>
    <x v="73"/>
    <n v="111.7"/>
    <n v="116.2"/>
    <n v="123.8"/>
    <x v="59"/>
    <n v="116"/>
    <x v="71"/>
    <m/>
    <x v="0"/>
  </r>
  <r>
    <x v="2"/>
    <x v="2"/>
    <x v="5"/>
    <s v="June,2015"/>
    <n v="123.9"/>
    <n v="131.80000000000001"/>
    <n v="121.6"/>
    <n v="128.19999999999999"/>
    <n v="111.1"/>
    <n v="132.80000000000001"/>
    <n v="139.1"/>
    <n v="137.4"/>
    <n v="94.1"/>
    <n v="125.5"/>
    <n v="119.8"/>
    <n v="130.9"/>
    <x v="73"/>
    <n v="129.19999999999999"/>
    <n v="126.4"/>
    <n v="122"/>
    <n v="125.7"/>
    <n v="119"/>
    <x v="65"/>
    <n v="121.1"/>
    <x v="74"/>
    <n v="112.9"/>
    <n v="116.9"/>
    <n v="123.1"/>
    <x v="60"/>
    <n v="117"/>
    <x v="72"/>
    <m/>
    <x v="0"/>
  </r>
  <r>
    <x v="0"/>
    <x v="2"/>
    <x v="6"/>
    <s v="July,2015"/>
    <n v="124"/>
    <n v="131.5"/>
    <n v="122"/>
    <n v="128.69999999999999"/>
    <n v="113.5"/>
    <n v="133.30000000000001"/>
    <n v="140.80000000000001"/>
    <n v="133.80000000000001"/>
    <n v="94.1"/>
    <n v="123.4"/>
    <n v="121"/>
    <n v="131.69999999999999"/>
    <x v="74"/>
    <n v="129.4"/>
    <n v="128.80000000000001"/>
    <n v="125.5"/>
    <n v="128.30000000000001"/>
    <s v="NA"/>
    <x v="66"/>
    <n v="123"/>
    <x v="75"/>
    <n v="114.1"/>
    <n v="118"/>
    <n v="122.9"/>
    <x v="61"/>
    <n v="118.1"/>
    <x v="73"/>
    <m/>
    <x v="0"/>
  </r>
  <r>
    <x v="1"/>
    <x v="2"/>
    <x v="6"/>
    <s v="July,2015"/>
    <n v="123.2"/>
    <n v="134.30000000000001"/>
    <n v="119.5"/>
    <n v="127.7"/>
    <n v="106.3"/>
    <n v="132.80000000000001"/>
    <n v="153.5"/>
    <n v="149.5"/>
    <n v="85.7"/>
    <n v="131.5"/>
    <n v="118.3"/>
    <n v="131.1"/>
    <x v="75"/>
    <n v="133.1"/>
    <n v="123.5"/>
    <n v="117.9"/>
    <n v="122.7"/>
    <n v="119.9"/>
    <x v="38"/>
    <n v="119.5"/>
    <x v="76"/>
    <n v="111.5"/>
    <n v="116.6"/>
    <n v="125.4"/>
    <x v="50"/>
    <n v="116.3"/>
    <x v="68"/>
    <m/>
    <x v="0"/>
  </r>
  <r>
    <x v="2"/>
    <x v="2"/>
    <x v="6"/>
    <s v="July,2015"/>
    <n v="123.7"/>
    <n v="132.5"/>
    <n v="121"/>
    <n v="128.30000000000001"/>
    <n v="110.9"/>
    <n v="133.1"/>
    <n v="145.1"/>
    <n v="139.1"/>
    <n v="91.3"/>
    <n v="126.1"/>
    <n v="119.9"/>
    <n v="131.4"/>
    <x v="76"/>
    <n v="130.4"/>
    <n v="126.7"/>
    <n v="122.3"/>
    <n v="126.1"/>
    <n v="119.9"/>
    <x v="67"/>
    <n v="121.3"/>
    <x v="77"/>
    <n v="112.7"/>
    <n v="117.2"/>
    <n v="124.4"/>
    <x v="56"/>
    <n v="117.2"/>
    <x v="74"/>
    <m/>
    <x v="0"/>
  </r>
  <r>
    <x v="0"/>
    <x v="2"/>
    <x v="7"/>
    <s v="August,2015"/>
    <n v="124.7"/>
    <n v="131.30000000000001"/>
    <n v="121.3"/>
    <n v="128.80000000000001"/>
    <n v="114"/>
    <n v="134.19999999999999"/>
    <n v="153.6"/>
    <n v="137.9"/>
    <n v="93.1"/>
    <n v="123.9"/>
    <n v="121.5"/>
    <n v="132.5"/>
    <x v="77"/>
    <n v="130.1"/>
    <n v="129.5"/>
    <n v="126.3"/>
    <n v="129"/>
    <s v="NA"/>
    <x v="68"/>
    <n v="123.7"/>
    <x v="78"/>
    <n v="113.6"/>
    <n v="118.5"/>
    <n v="123.6"/>
    <x v="59"/>
    <n v="118.2"/>
    <x v="75"/>
    <m/>
    <x v="0"/>
  </r>
  <r>
    <x v="1"/>
    <x v="2"/>
    <x v="7"/>
    <s v="August,2015"/>
    <n v="123.1"/>
    <n v="131.69999999999999"/>
    <n v="118.1"/>
    <n v="128"/>
    <n v="106.8"/>
    <n v="130.1"/>
    <n v="165.5"/>
    <n v="156"/>
    <n v="85.3"/>
    <n v="132.69999999999999"/>
    <n v="118.8"/>
    <n v="131.69999999999999"/>
    <x v="78"/>
    <n v="134.19999999999999"/>
    <n v="123.7"/>
    <n v="118.2"/>
    <n v="122.9"/>
    <n v="120.9"/>
    <x v="38"/>
    <n v="120"/>
    <x v="60"/>
    <n v="109.9"/>
    <n v="117.2"/>
    <n v="126.2"/>
    <x v="62"/>
    <n v="116.2"/>
    <x v="76"/>
    <m/>
    <x v="0"/>
  </r>
  <r>
    <x v="2"/>
    <x v="2"/>
    <x v="7"/>
    <s v="August,2015"/>
    <n v="124.2"/>
    <n v="131.4"/>
    <n v="120.1"/>
    <n v="128.5"/>
    <n v="111.4"/>
    <n v="132.30000000000001"/>
    <n v="157.6"/>
    <n v="144"/>
    <n v="90.5"/>
    <n v="126.8"/>
    <n v="120.4"/>
    <n v="132.1"/>
    <x v="79"/>
    <n v="131.19999999999999"/>
    <n v="127.2"/>
    <n v="122.9"/>
    <n v="126.6"/>
    <n v="120.9"/>
    <x v="56"/>
    <n v="122"/>
    <x v="70"/>
    <n v="111.7"/>
    <n v="117.8"/>
    <n v="125.1"/>
    <x v="56"/>
    <n v="117.2"/>
    <x v="77"/>
    <m/>
    <x v="0"/>
  </r>
  <r>
    <x v="0"/>
    <x v="2"/>
    <x v="8"/>
    <s v="September,2015"/>
    <n v="125.1"/>
    <n v="131.1"/>
    <n v="120.7"/>
    <n v="129.19999999999999"/>
    <n v="114.7"/>
    <n v="132.30000000000001"/>
    <n v="158.9"/>
    <n v="142.1"/>
    <n v="92.5"/>
    <n v="125.4"/>
    <n v="121.9"/>
    <n v="132.69999999999999"/>
    <x v="80"/>
    <n v="131"/>
    <n v="130.4"/>
    <n v="126.8"/>
    <n v="129.9"/>
    <s v="NA"/>
    <x v="69"/>
    <n v="124.5"/>
    <x v="79"/>
    <n v="113.8"/>
    <n v="119.6"/>
    <n v="124.5"/>
    <x v="63"/>
    <n v="118.8"/>
    <x v="78"/>
    <m/>
    <x v="0"/>
  </r>
  <r>
    <x v="1"/>
    <x v="2"/>
    <x v="8"/>
    <s v="September,2015"/>
    <n v="123.4"/>
    <n v="129"/>
    <n v="115.6"/>
    <n v="128.30000000000001"/>
    <n v="107"/>
    <n v="124"/>
    <n v="168.5"/>
    <n v="165.4"/>
    <n v="86.3"/>
    <n v="134.4"/>
    <n v="119.1"/>
    <n v="132.30000000000001"/>
    <x v="81"/>
    <n v="134.69999999999999"/>
    <n v="124"/>
    <n v="118.6"/>
    <n v="123.2"/>
    <n v="121.6"/>
    <x v="64"/>
    <n v="120.4"/>
    <x v="69"/>
    <n v="109.1"/>
    <n v="117.3"/>
    <n v="126.5"/>
    <x v="64"/>
    <n v="116.2"/>
    <x v="79"/>
    <m/>
    <x v="0"/>
  </r>
  <r>
    <x v="2"/>
    <x v="2"/>
    <x v="8"/>
    <s v="September,2015"/>
    <n v="124.6"/>
    <n v="130.4"/>
    <n v="118.7"/>
    <n v="128.9"/>
    <n v="111.9"/>
    <n v="128.4"/>
    <n v="162.19999999999999"/>
    <n v="150"/>
    <n v="90.4"/>
    <n v="128.4"/>
    <n v="120.7"/>
    <n v="132.5"/>
    <x v="82"/>
    <n v="132"/>
    <n v="127.9"/>
    <n v="123.4"/>
    <n v="127.2"/>
    <n v="121.6"/>
    <x v="70"/>
    <n v="122.6"/>
    <x v="80"/>
    <n v="111.3"/>
    <n v="118.3"/>
    <n v="125.7"/>
    <x v="65"/>
    <n v="117.5"/>
    <x v="80"/>
    <m/>
    <x v="0"/>
  </r>
  <r>
    <x v="0"/>
    <x v="2"/>
    <x v="9"/>
    <s v="October,2015"/>
    <n v="125.6"/>
    <n v="130.4"/>
    <n v="120.8"/>
    <n v="129.4"/>
    <n v="115.8"/>
    <n v="133.19999999999999"/>
    <n v="157.69999999999999"/>
    <n v="154.19999999999999"/>
    <n v="93.7"/>
    <n v="126.6"/>
    <n v="122.3"/>
    <n v="133.1"/>
    <x v="83"/>
    <n v="131.5"/>
    <n v="131.1"/>
    <n v="127.3"/>
    <n v="130.6"/>
    <s v="NA"/>
    <x v="71"/>
    <n v="125.1"/>
    <x v="81"/>
    <n v="113.8"/>
    <n v="120.1"/>
    <n v="125.1"/>
    <x v="66"/>
    <n v="119.2"/>
    <x v="81"/>
    <m/>
    <x v="0"/>
  </r>
  <r>
    <x v="1"/>
    <x v="2"/>
    <x v="9"/>
    <s v="October,2015"/>
    <n v="123.6"/>
    <n v="128.6"/>
    <n v="115.9"/>
    <n v="128.5"/>
    <n v="109"/>
    <n v="124.1"/>
    <n v="165.8"/>
    <n v="187.2"/>
    <n v="89.4"/>
    <n v="135.80000000000001"/>
    <n v="119.4"/>
    <n v="132.9"/>
    <x v="84"/>
    <n v="135.30000000000001"/>
    <n v="124.4"/>
    <n v="118.8"/>
    <n v="123.6"/>
    <n v="122.4"/>
    <x v="61"/>
    <n v="120.7"/>
    <x v="62"/>
    <n v="109.3"/>
    <n v="117.7"/>
    <n v="126.5"/>
    <x v="67"/>
    <n v="116.5"/>
    <x v="82"/>
    <m/>
    <x v="0"/>
  </r>
  <r>
    <x v="2"/>
    <x v="2"/>
    <x v="9"/>
    <s v="October,2015"/>
    <n v="125"/>
    <n v="129.80000000000001"/>
    <n v="118.9"/>
    <n v="129.1"/>
    <n v="113.3"/>
    <n v="129"/>
    <n v="160.4"/>
    <n v="165.3"/>
    <n v="92.3"/>
    <n v="129.69999999999999"/>
    <n v="121.1"/>
    <n v="133"/>
    <x v="85"/>
    <n v="132.5"/>
    <n v="128.5"/>
    <n v="123.8"/>
    <n v="127.8"/>
    <n v="122.4"/>
    <x v="72"/>
    <n v="123"/>
    <x v="72"/>
    <n v="111.4"/>
    <n v="118.7"/>
    <n v="125.9"/>
    <x v="68"/>
    <n v="117.9"/>
    <x v="75"/>
    <m/>
    <x v="0"/>
  </r>
  <r>
    <x v="0"/>
    <x v="2"/>
    <x v="11"/>
    <s v="November,2015"/>
    <n v="126.1"/>
    <n v="130.6"/>
    <n v="121.7"/>
    <n v="129.5"/>
    <n v="117.8"/>
    <n v="132.1"/>
    <n v="155.19999999999999"/>
    <n v="160.80000000000001"/>
    <n v="94.5"/>
    <n v="128.30000000000001"/>
    <n v="123.1"/>
    <n v="134.19999999999999"/>
    <x v="86"/>
    <n v="132.19999999999999"/>
    <n v="132.1"/>
    <n v="128.19999999999999"/>
    <n v="131.5"/>
    <s v="NA"/>
    <x v="73"/>
    <n v="125.6"/>
    <x v="82"/>
    <n v="114"/>
    <n v="120.9"/>
    <n v="125.8"/>
    <x v="66"/>
    <n v="119.6"/>
    <x v="83"/>
    <m/>
    <x v="0"/>
  </r>
  <r>
    <x v="1"/>
    <x v="2"/>
    <x v="11"/>
    <s v="November,2015"/>
    <n v="124"/>
    <n v="129.80000000000001"/>
    <n v="121.5"/>
    <n v="128.6"/>
    <n v="110"/>
    <n v="123.7"/>
    <n v="164.6"/>
    <n v="191.6"/>
    <n v="90.8"/>
    <n v="137.1"/>
    <n v="119.8"/>
    <n v="133.69999999999999"/>
    <x v="87"/>
    <n v="137.6"/>
    <n v="125"/>
    <n v="119.3"/>
    <n v="124.2"/>
    <n v="122.9"/>
    <x v="64"/>
    <n v="121"/>
    <x v="83"/>
    <n v="109.3"/>
    <n v="117.9"/>
    <n v="126.6"/>
    <x v="69"/>
    <n v="116.6"/>
    <x v="84"/>
    <m/>
    <x v="0"/>
  </r>
  <r>
    <x v="2"/>
    <x v="2"/>
    <x v="11"/>
    <s v="November,2015"/>
    <n v="125.4"/>
    <n v="130.30000000000001"/>
    <n v="121.6"/>
    <n v="129.19999999999999"/>
    <n v="114.9"/>
    <n v="128.19999999999999"/>
    <n v="158.4"/>
    <n v="171.2"/>
    <n v="93.3"/>
    <n v="131.19999999999999"/>
    <n v="121.7"/>
    <n v="134"/>
    <x v="88"/>
    <n v="133.6"/>
    <n v="129.30000000000001"/>
    <n v="124.5"/>
    <n v="128.6"/>
    <n v="122.9"/>
    <x v="74"/>
    <n v="123.4"/>
    <x v="84"/>
    <n v="111.5"/>
    <n v="119.2"/>
    <n v="126.3"/>
    <x v="70"/>
    <n v="118.1"/>
    <x v="85"/>
    <m/>
    <x v="0"/>
  </r>
  <r>
    <x v="0"/>
    <x v="2"/>
    <x v="12"/>
    <s v="December,2015"/>
    <n v="126.3"/>
    <n v="131.30000000000001"/>
    <n v="123.3"/>
    <n v="129.80000000000001"/>
    <n v="118.3"/>
    <n v="131.6"/>
    <n v="145.5"/>
    <n v="162.1"/>
    <n v="95.4"/>
    <n v="128.9"/>
    <n v="123.3"/>
    <n v="135.1"/>
    <x v="89"/>
    <n v="133.1"/>
    <n v="132.5"/>
    <n v="128.5"/>
    <n v="131.9"/>
    <s v="NA"/>
    <x v="75"/>
    <n v="126"/>
    <x v="85"/>
    <n v="114"/>
    <n v="121.6"/>
    <n v="125.6"/>
    <x v="71"/>
    <n v="119.8"/>
    <x v="86"/>
    <m/>
    <x v="0"/>
  </r>
  <r>
    <x v="1"/>
    <x v="2"/>
    <x v="12"/>
    <s v="December,2015"/>
    <n v="124.3"/>
    <n v="131.69999999999999"/>
    <n v="127.1"/>
    <n v="128.6"/>
    <n v="110"/>
    <n v="120.8"/>
    <n v="149"/>
    <n v="190.1"/>
    <n v="92.7"/>
    <n v="138.6"/>
    <n v="120.2"/>
    <n v="134.19999999999999"/>
    <x v="81"/>
    <n v="138.19999999999999"/>
    <n v="125.4"/>
    <n v="119.5"/>
    <n v="124.5"/>
    <n v="122.4"/>
    <x v="76"/>
    <n v="121"/>
    <x v="67"/>
    <n v="109.3"/>
    <n v="118.1"/>
    <n v="126.6"/>
    <x v="72"/>
    <n v="116.7"/>
    <x v="87"/>
    <m/>
    <x v="0"/>
  </r>
  <r>
    <x v="2"/>
    <x v="2"/>
    <x v="12"/>
    <s v="December,2015"/>
    <n v="125.7"/>
    <n v="131.4"/>
    <n v="124.8"/>
    <n v="129.4"/>
    <n v="115.3"/>
    <n v="126.6"/>
    <n v="146.69999999999999"/>
    <n v="171.5"/>
    <n v="94.5"/>
    <n v="132.1"/>
    <n v="122"/>
    <n v="134.69999999999999"/>
    <x v="89"/>
    <n v="134.5"/>
    <n v="129.69999999999999"/>
    <n v="124.8"/>
    <n v="129"/>
    <n v="122.4"/>
    <x v="77"/>
    <n v="123.6"/>
    <x v="79"/>
    <n v="111.5"/>
    <n v="119.6"/>
    <n v="126.2"/>
    <x v="63"/>
    <n v="118.3"/>
    <x v="75"/>
    <m/>
    <x v="0"/>
  </r>
  <r>
    <x v="0"/>
    <x v="3"/>
    <x v="0"/>
    <s v="January,2016"/>
    <n v="126.8"/>
    <n v="133.19999999999999"/>
    <n v="126.5"/>
    <n v="130.30000000000001"/>
    <n v="118.9"/>
    <n v="131.6"/>
    <n v="140.1"/>
    <n v="163.80000000000001"/>
    <n v="97.7"/>
    <n v="129.6"/>
    <n v="124.3"/>
    <n v="135.9"/>
    <x v="89"/>
    <n v="133.6"/>
    <n v="133.19999999999999"/>
    <n v="128.9"/>
    <n v="132.6"/>
    <s v="NA"/>
    <x v="78"/>
    <n v="126.6"/>
    <x v="86"/>
    <n v="113.6"/>
    <n v="121.4"/>
    <n v="126.2"/>
    <x v="73"/>
    <n v="120.1"/>
    <x v="88"/>
    <m/>
    <x v="0"/>
  </r>
  <r>
    <x v="1"/>
    <x v="3"/>
    <x v="0"/>
    <s v="January,2016"/>
    <n v="124.7"/>
    <n v="135.9"/>
    <n v="132"/>
    <n v="129.19999999999999"/>
    <n v="109.7"/>
    <n v="119"/>
    <n v="144.1"/>
    <n v="184.2"/>
    <n v="96.7"/>
    <n v="139.5"/>
    <n v="120.5"/>
    <n v="134.69999999999999"/>
    <x v="82"/>
    <n v="139.5"/>
    <n v="125.8"/>
    <n v="119.8"/>
    <n v="124.9"/>
    <n v="123.4"/>
    <x v="79"/>
    <n v="121.6"/>
    <x v="87"/>
    <n v="108.9"/>
    <n v="118.5"/>
    <n v="126.4"/>
    <x v="74"/>
    <n v="116.8"/>
    <x v="82"/>
    <m/>
    <x v="0"/>
  </r>
  <r>
    <x v="2"/>
    <x v="3"/>
    <x v="0"/>
    <s v="January,2016"/>
    <n v="126.1"/>
    <n v="134.1"/>
    <n v="128.6"/>
    <n v="129.9"/>
    <n v="115.5"/>
    <n v="125.7"/>
    <n v="141.5"/>
    <n v="170.7"/>
    <n v="97.4"/>
    <n v="132.9"/>
    <n v="122.7"/>
    <n v="135.30000000000001"/>
    <x v="90"/>
    <n v="135.19999999999999"/>
    <n v="130.30000000000001"/>
    <n v="125.1"/>
    <n v="129.5"/>
    <n v="123.4"/>
    <x v="80"/>
    <n v="124.2"/>
    <x v="81"/>
    <n v="111.1"/>
    <n v="119.8"/>
    <n v="126.3"/>
    <x v="75"/>
    <n v="118.5"/>
    <x v="89"/>
    <m/>
    <x v="0"/>
  </r>
  <r>
    <x v="0"/>
    <x v="3"/>
    <x v="1"/>
    <s v="February,2016"/>
    <n v="127.1"/>
    <n v="133.69999999999999"/>
    <n v="127.7"/>
    <n v="130.69999999999999"/>
    <n v="118.5"/>
    <n v="130.4"/>
    <n v="130.9"/>
    <n v="162.80000000000001"/>
    <n v="98.7"/>
    <n v="130.6"/>
    <n v="124.8"/>
    <n v="136.4"/>
    <x v="79"/>
    <n v="134.4"/>
    <n v="133.9"/>
    <n v="129.80000000000001"/>
    <n v="133.4"/>
    <s v="NA"/>
    <x v="81"/>
    <n v="127.1"/>
    <x v="88"/>
    <n v="113.9"/>
    <n v="122.3"/>
    <n v="127.1"/>
    <x v="76"/>
    <n v="120.9"/>
    <x v="86"/>
    <m/>
    <x v="0"/>
  </r>
  <r>
    <x v="1"/>
    <x v="3"/>
    <x v="1"/>
    <s v="February,2016"/>
    <n v="124.8"/>
    <n v="135.1"/>
    <n v="130.30000000000001"/>
    <n v="129.6"/>
    <n v="108.4"/>
    <n v="118.6"/>
    <n v="129.19999999999999"/>
    <n v="176.4"/>
    <n v="99.1"/>
    <n v="139.69999999999999"/>
    <n v="120.6"/>
    <n v="135.19999999999999"/>
    <x v="91"/>
    <n v="140"/>
    <n v="126.2"/>
    <n v="120.1"/>
    <n v="125.3"/>
    <n v="124.4"/>
    <x v="76"/>
    <n v="121.8"/>
    <x v="89"/>
    <n v="109.1"/>
    <n v="118.8"/>
    <n v="126.3"/>
    <x v="77"/>
    <n v="117.2"/>
    <x v="90"/>
    <m/>
    <x v="0"/>
  </r>
  <r>
    <x v="2"/>
    <x v="3"/>
    <x v="1"/>
    <s v="February,2016"/>
    <n v="126.4"/>
    <n v="134.19999999999999"/>
    <n v="128.69999999999999"/>
    <n v="130.30000000000001"/>
    <n v="114.8"/>
    <n v="124.9"/>
    <n v="130.30000000000001"/>
    <n v="167.4"/>
    <n v="98.8"/>
    <n v="133.6"/>
    <n v="123"/>
    <n v="135.80000000000001"/>
    <x v="92"/>
    <n v="135.9"/>
    <n v="130.9"/>
    <n v="125.8"/>
    <n v="130.19999999999999"/>
    <n v="124.4"/>
    <x v="82"/>
    <n v="124.6"/>
    <x v="90"/>
    <n v="111.4"/>
    <n v="120.3"/>
    <n v="126.6"/>
    <x v="78"/>
    <n v="119.1"/>
    <x v="91"/>
    <m/>
    <x v="0"/>
  </r>
  <r>
    <x v="0"/>
    <x v="3"/>
    <x v="2"/>
    <s v="March,2016"/>
    <n v="127.3"/>
    <n v="134.4"/>
    <n v="125.1"/>
    <n v="130.5"/>
    <n v="118.3"/>
    <n v="131.69999999999999"/>
    <n v="130.69999999999999"/>
    <n v="161.19999999999999"/>
    <n v="100.4"/>
    <n v="130.80000000000001"/>
    <n v="124.9"/>
    <n v="137"/>
    <x v="93"/>
    <n v="135"/>
    <n v="134.4"/>
    <n v="130.19999999999999"/>
    <n v="133.80000000000001"/>
    <s v="NA"/>
    <x v="83"/>
    <n v="127.7"/>
    <x v="91"/>
    <n v="113.6"/>
    <n v="122.5"/>
    <n v="127.5"/>
    <x v="79"/>
    <n v="121.1"/>
    <x v="92"/>
    <m/>
    <x v="0"/>
  </r>
  <r>
    <x v="1"/>
    <x v="3"/>
    <x v="2"/>
    <s v="March,2016"/>
    <n v="124.8"/>
    <n v="136.30000000000001"/>
    <n v="123.7"/>
    <n v="129.69999999999999"/>
    <n v="107.9"/>
    <n v="119.9"/>
    <n v="128.1"/>
    <n v="170.3"/>
    <n v="101.8"/>
    <n v="140.1"/>
    <n v="120.7"/>
    <n v="135.4"/>
    <x v="53"/>
    <n v="140.6"/>
    <n v="126.4"/>
    <n v="120.3"/>
    <n v="125.5"/>
    <n v="124.9"/>
    <x v="84"/>
    <n v="122.3"/>
    <x v="92"/>
    <n v="108.5"/>
    <n v="119.1"/>
    <n v="126.4"/>
    <x v="80"/>
    <n v="117.3"/>
    <x v="90"/>
    <m/>
    <x v="0"/>
  </r>
  <r>
    <x v="2"/>
    <x v="3"/>
    <x v="2"/>
    <s v="March,2016"/>
    <n v="126.5"/>
    <n v="135.1"/>
    <n v="124.6"/>
    <n v="130.19999999999999"/>
    <n v="114.5"/>
    <n v="126.2"/>
    <n v="129.80000000000001"/>
    <n v="164.3"/>
    <n v="100.9"/>
    <n v="133.9"/>
    <n v="123.1"/>
    <n v="136.30000000000001"/>
    <x v="77"/>
    <n v="136.5"/>
    <n v="131.30000000000001"/>
    <n v="126.1"/>
    <n v="130.5"/>
    <n v="124.9"/>
    <x v="85"/>
    <n v="125.1"/>
    <x v="93"/>
    <n v="110.9"/>
    <n v="120.6"/>
    <n v="126.9"/>
    <x v="81"/>
    <n v="119.3"/>
    <x v="91"/>
    <m/>
    <x v="0"/>
  </r>
  <r>
    <x v="0"/>
    <x v="3"/>
    <x v="3"/>
    <s v="April,2016"/>
    <n v="127.4"/>
    <n v="135.4"/>
    <n v="123.4"/>
    <n v="131.30000000000001"/>
    <n v="118.2"/>
    <n v="138.1"/>
    <n v="134.1"/>
    <n v="162.69999999999999"/>
    <n v="105"/>
    <n v="131.4"/>
    <n v="125.4"/>
    <n v="137.4"/>
    <x v="83"/>
    <n v="135.5"/>
    <n v="135"/>
    <n v="130.6"/>
    <n v="134.4"/>
    <s v="NA"/>
    <x v="83"/>
    <n v="128"/>
    <x v="94"/>
    <n v="114.4"/>
    <n v="123.2"/>
    <n v="127.9"/>
    <x v="82"/>
    <n v="121.7"/>
    <x v="93"/>
    <m/>
    <x v="0"/>
  </r>
  <r>
    <x v="1"/>
    <x v="3"/>
    <x v="3"/>
    <s v="April,2016"/>
    <n v="124.9"/>
    <n v="139.30000000000001"/>
    <n v="119.9"/>
    <n v="130.19999999999999"/>
    <n v="108.9"/>
    <n v="131.1"/>
    <n v="136.80000000000001"/>
    <n v="176.9"/>
    <n v="109.1"/>
    <n v="140.4"/>
    <n v="121.1"/>
    <n v="135.9"/>
    <x v="83"/>
    <n v="141.5"/>
    <n v="126.8"/>
    <n v="120.5"/>
    <n v="125.8"/>
    <n v="125.6"/>
    <x v="86"/>
    <n v="122.8"/>
    <x v="95"/>
    <n v="110"/>
    <n v="119.5"/>
    <n v="127.6"/>
    <x v="83"/>
    <n v="118.2"/>
    <x v="94"/>
    <m/>
    <x v="0"/>
  </r>
  <r>
    <x v="2"/>
    <x v="3"/>
    <x v="3"/>
    <s v="April,2016"/>
    <n v="126.6"/>
    <n v="136.80000000000001"/>
    <n v="122"/>
    <n v="130.9"/>
    <n v="114.8"/>
    <n v="134.80000000000001"/>
    <n v="135"/>
    <n v="167.5"/>
    <n v="106.4"/>
    <n v="134.4"/>
    <n v="123.6"/>
    <n v="136.69999999999999"/>
    <x v="83"/>
    <n v="137.1"/>
    <n v="131.80000000000001"/>
    <n v="126.4"/>
    <n v="131"/>
    <n v="125.6"/>
    <x v="87"/>
    <n v="125.5"/>
    <x v="96"/>
    <n v="112.1"/>
    <n v="121.1"/>
    <n v="127.7"/>
    <x v="84"/>
    <n v="120"/>
    <x v="95"/>
    <m/>
    <x v="0"/>
  </r>
  <r>
    <x v="0"/>
    <x v="3"/>
    <x v="4"/>
    <s v="May,2016"/>
    <n v="127.6"/>
    <n v="137.5"/>
    <n v="124.4"/>
    <n v="132.4"/>
    <n v="118.2"/>
    <n v="138.1"/>
    <n v="141.80000000000001"/>
    <n v="166"/>
    <n v="107.5"/>
    <n v="132.19999999999999"/>
    <n v="126.1"/>
    <n v="138.30000000000001"/>
    <x v="94"/>
    <n v="136"/>
    <n v="135.4"/>
    <n v="131.1"/>
    <n v="134.80000000000001"/>
    <s v="NA"/>
    <x v="88"/>
    <n v="128.5"/>
    <x v="97"/>
    <n v="115.1"/>
    <n v="123.6"/>
    <n v="129.1"/>
    <x v="85"/>
    <n v="122.5"/>
    <x v="96"/>
    <m/>
    <x v="0"/>
  </r>
  <r>
    <x v="1"/>
    <x v="3"/>
    <x v="4"/>
    <s v="May,2016"/>
    <n v="125"/>
    <n v="142.1"/>
    <n v="127"/>
    <n v="130.4"/>
    <n v="109.6"/>
    <n v="133.5"/>
    <n v="151.4"/>
    <n v="182.8"/>
    <n v="111.1"/>
    <n v="141.5"/>
    <n v="121.5"/>
    <n v="136.30000000000001"/>
    <x v="95"/>
    <n v="142.19999999999999"/>
    <n v="127.2"/>
    <n v="120.7"/>
    <n v="126.2"/>
    <n v="126"/>
    <x v="89"/>
    <n v="123.2"/>
    <x v="98"/>
    <n v="110.7"/>
    <n v="119.8"/>
    <n v="128"/>
    <x v="86"/>
    <n v="118.7"/>
    <x v="85"/>
    <m/>
    <x v="0"/>
  </r>
  <r>
    <x v="2"/>
    <x v="3"/>
    <x v="4"/>
    <s v="May,2016"/>
    <n v="126.8"/>
    <n v="139.1"/>
    <n v="125.4"/>
    <n v="131.69999999999999"/>
    <n v="115"/>
    <n v="136"/>
    <n v="145.1"/>
    <n v="171.7"/>
    <n v="108.7"/>
    <n v="135.30000000000001"/>
    <n v="124.2"/>
    <n v="137.4"/>
    <x v="96"/>
    <n v="137.69999999999999"/>
    <n v="132.19999999999999"/>
    <n v="126.8"/>
    <n v="131.4"/>
    <n v="126"/>
    <x v="80"/>
    <n v="126"/>
    <x v="86"/>
    <n v="112.8"/>
    <n v="121.5"/>
    <n v="128.5"/>
    <x v="87"/>
    <n v="120.7"/>
    <x v="97"/>
    <m/>
    <x v="0"/>
  </r>
  <r>
    <x v="0"/>
    <x v="3"/>
    <x v="5"/>
    <s v="June,2016"/>
    <n v="128.6"/>
    <n v="138.6"/>
    <n v="126.6"/>
    <n v="133.6"/>
    <n v="118.6"/>
    <n v="137.4"/>
    <n v="152.5"/>
    <n v="169.2"/>
    <n v="108.8"/>
    <n v="133.1"/>
    <n v="126.4"/>
    <n v="139.19999999999999"/>
    <x v="97"/>
    <n v="137.19999999999999"/>
    <n v="136.30000000000001"/>
    <n v="131.6"/>
    <n v="135.6"/>
    <s v="NA"/>
    <x v="90"/>
    <n v="129.30000000000001"/>
    <x v="99"/>
    <n v="116.3"/>
    <n v="124.1"/>
    <n v="130.19999999999999"/>
    <x v="88"/>
    <n v="123.3"/>
    <x v="98"/>
    <m/>
    <x v="0"/>
  </r>
  <r>
    <x v="1"/>
    <x v="3"/>
    <x v="5"/>
    <s v="June,2016"/>
    <n v="125.9"/>
    <n v="143.9"/>
    <n v="130.9"/>
    <n v="131"/>
    <n v="110.2"/>
    <n v="135.5"/>
    <n v="173.7"/>
    <n v="184.4"/>
    <n v="112"/>
    <n v="142.80000000000001"/>
    <n v="121.6"/>
    <n v="136.9"/>
    <x v="98"/>
    <n v="142.69999999999999"/>
    <n v="127.6"/>
    <n v="121.1"/>
    <n v="126.6"/>
    <n v="125.5"/>
    <x v="49"/>
    <n v="123.2"/>
    <x v="100"/>
    <n v="112.3"/>
    <n v="119.9"/>
    <n v="129.30000000000001"/>
    <x v="89"/>
    <n v="119.6"/>
    <x v="88"/>
    <m/>
    <x v="0"/>
  </r>
  <r>
    <x v="2"/>
    <x v="3"/>
    <x v="5"/>
    <s v="June,2016"/>
    <n v="127.7"/>
    <n v="140.5"/>
    <n v="128.30000000000001"/>
    <n v="132.6"/>
    <n v="115.5"/>
    <n v="136.5"/>
    <n v="159.69999999999999"/>
    <n v="174.3"/>
    <n v="109.9"/>
    <n v="136.30000000000001"/>
    <n v="124.4"/>
    <n v="138.1"/>
    <x v="99"/>
    <n v="138.69999999999999"/>
    <n v="132.9"/>
    <n v="127.2"/>
    <n v="132"/>
    <n v="125.5"/>
    <x v="91"/>
    <n v="126.4"/>
    <x v="101"/>
    <n v="114.2"/>
    <n v="121.7"/>
    <n v="129.69999999999999"/>
    <x v="90"/>
    <n v="121.5"/>
    <x v="99"/>
    <m/>
    <x v="0"/>
  </r>
  <r>
    <x v="0"/>
    <x v="3"/>
    <x v="6"/>
    <s v="July,2016"/>
    <n v="129.30000000000001"/>
    <n v="139.5"/>
    <n v="129.6"/>
    <n v="134.5"/>
    <n v="119.5"/>
    <n v="138.5"/>
    <n v="158.19999999999999"/>
    <n v="171.8"/>
    <n v="110.3"/>
    <n v="134.30000000000001"/>
    <n v="127.3"/>
    <n v="139.9"/>
    <x v="100"/>
    <n v="138"/>
    <n v="137.19999999999999"/>
    <n v="132.19999999999999"/>
    <n v="136.5"/>
    <s v="NA"/>
    <x v="92"/>
    <n v="130"/>
    <x v="102"/>
    <n v="116.4"/>
    <n v="125.2"/>
    <n v="130.80000000000001"/>
    <x v="91"/>
    <n v="123.8"/>
    <x v="100"/>
    <m/>
    <x v="0"/>
  </r>
  <r>
    <x v="1"/>
    <x v="3"/>
    <x v="6"/>
    <s v="July,2016"/>
    <n v="126.8"/>
    <n v="144.19999999999999"/>
    <n v="136.6"/>
    <n v="131.80000000000001"/>
    <n v="111"/>
    <n v="137"/>
    <n v="179.5"/>
    <n v="188.4"/>
    <n v="113.3"/>
    <n v="143.9"/>
    <n v="121.7"/>
    <n v="137.5"/>
    <x v="101"/>
    <n v="142.9"/>
    <n v="127.9"/>
    <n v="121.1"/>
    <n v="126.9"/>
    <n v="126.4"/>
    <x v="49"/>
    <n v="123.5"/>
    <x v="84"/>
    <n v="111.7"/>
    <n v="120.3"/>
    <n v="130.80000000000001"/>
    <x v="92"/>
    <n v="119.9"/>
    <x v="93"/>
    <m/>
    <x v="0"/>
  </r>
  <r>
    <x v="2"/>
    <x v="3"/>
    <x v="6"/>
    <s v="July,2016"/>
    <n v="128.5"/>
    <n v="141.19999999999999"/>
    <n v="132.30000000000001"/>
    <n v="133.5"/>
    <n v="116.4"/>
    <n v="137.80000000000001"/>
    <n v="165.4"/>
    <n v="177.4"/>
    <n v="111.3"/>
    <n v="137.5"/>
    <n v="125"/>
    <n v="138.80000000000001"/>
    <x v="102"/>
    <n v="139.30000000000001"/>
    <n v="133.5"/>
    <n v="127.6"/>
    <n v="132.69999999999999"/>
    <n v="126.4"/>
    <x v="93"/>
    <n v="126.9"/>
    <x v="103"/>
    <n v="113.9"/>
    <n v="122.4"/>
    <n v="130.80000000000001"/>
    <x v="93"/>
    <n v="121.9"/>
    <x v="101"/>
    <m/>
    <x v="0"/>
  </r>
  <r>
    <x v="0"/>
    <x v="3"/>
    <x v="7"/>
    <s v="August,2016"/>
    <n v="130.1"/>
    <n v="138.80000000000001"/>
    <n v="130.30000000000001"/>
    <n v="135.30000000000001"/>
    <n v="119.9"/>
    <n v="140.19999999999999"/>
    <n v="156.9"/>
    <n v="172.2"/>
    <n v="112.1"/>
    <n v="134.9"/>
    <n v="128.1"/>
    <n v="140.69999999999999"/>
    <x v="103"/>
    <n v="138.9"/>
    <n v="137.80000000000001"/>
    <n v="133"/>
    <n v="137.1"/>
    <s v="NA"/>
    <x v="94"/>
    <n v="130.6"/>
    <x v="104"/>
    <n v="116"/>
    <n v="125.5"/>
    <n v="131.9"/>
    <x v="94"/>
    <n v="124.2"/>
    <x v="102"/>
    <m/>
    <x v="0"/>
  </r>
  <r>
    <x v="1"/>
    <x v="3"/>
    <x v="7"/>
    <s v="August,2016"/>
    <n v="127.6"/>
    <n v="140.30000000000001"/>
    <n v="133.69999999999999"/>
    <n v="132.19999999999999"/>
    <n v="111.8"/>
    <n v="135.80000000000001"/>
    <n v="163.5"/>
    <n v="182.3"/>
    <n v="114.6"/>
    <n v="144.6"/>
    <n v="121.9"/>
    <n v="138.1"/>
    <x v="100"/>
    <n v="143.6"/>
    <n v="128.30000000000001"/>
    <n v="121.4"/>
    <n v="127.3"/>
    <n v="127.3"/>
    <x v="47"/>
    <n v="123.9"/>
    <x v="105"/>
    <n v="110.4"/>
    <n v="120.6"/>
    <n v="131.5"/>
    <x v="91"/>
    <n v="119.9"/>
    <x v="103"/>
    <m/>
    <x v="0"/>
  </r>
  <r>
    <x v="2"/>
    <x v="3"/>
    <x v="7"/>
    <s v="August,2016"/>
    <n v="129.30000000000001"/>
    <n v="139.30000000000001"/>
    <n v="131.6"/>
    <n v="134.1"/>
    <n v="116.9"/>
    <n v="138.1"/>
    <n v="159.1"/>
    <n v="175.6"/>
    <n v="112.9"/>
    <n v="138.1"/>
    <n v="125.5"/>
    <n v="139.5"/>
    <x v="104"/>
    <n v="140.19999999999999"/>
    <n v="134.1"/>
    <n v="128.19999999999999"/>
    <n v="133.19999999999999"/>
    <n v="127.3"/>
    <x v="95"/>
    <n v="127.4"/>
    <x v="91"/>
    <n v="113.1"/>
    <n v="122.7"/>
    <n v="131.69999999999999"/>
    <x v="95"/>
    <n v="122.1"/>
    <x v="101"/>
    <m/>
    <x v="0"/>
  </r>
  <r>
    <x v="0"/>
    <x v="3"/>
    <x v="8"/>
    <s v="September,2016"/>
    <n v="130.80000000000001"/>
    <n v="138.19999999999999"/>
    <n v="130.5"/>
    <n v="135.5"/>
    <n v="120.2"/>
    <n v="139.19999999999999"/>
    <n v="149.5"/>
    <n v="170.4"/>
    <n v="113.1"/>
    <n v="135.80000000000001"/>
    <n v="128.80000000000001"/>
    <n v="141.5"/>
    <x v="105"/>
    <n v="139.9"/>
    <n v="138.5"/>
    <n v="133.5"/>
    <n v="137.80000000000001"/>
    <s v="NA"/>
    <x v="96"/>
    <n v="131.1"/>
    <x v="106"/>
    <n v="117"/>
    <n v="125.7"/>
    <n v="132.19999999999999"/>
    <x v="96"/>
    <n v="124.9"/>
    <x v="104"/>
    <m/>
    <x v="0"/>
  </r>
  <r>
    <x v="1"/>
    <x v="3"/>
    <x v="8"/>
    <s v="September,2016"/>
    <n v="128.1"/>
    <n v="137.69999999999999"/>
    <n v="130.6"/>
    <n v="132.6"/>
    <n v="111.9"/>
    <n v="132.5"/>
    <n v="152.9"/>
    <n v="173.6"/>
    <n v="115.1"/>
    <n v="144.80000000000001"/>
    <n v="122.1"/>
    <n v="138.80000000000001"/>
    <x v="106"/>
    <n v="143.9"/>
    <n v="128.69999999999999"/>
    <n v="121.6"/>
    <n v="127.7"/>
    <n v="127.9"/>
    <x v="84"/>
    <n v="124.3"/>
    <x v="79"/>
    <n v="111.8"/>
    <n v="120.8"/>
    <n v="131.6"/>
    <x v="97"/>
    <n v="120.5"/>
    <x v="92"/>
    <m/>
    <x v="0"/>
  </r>
  <r>
    <x v="2"/>
    <x v="3"/>
    <x v="8"/>
    <s v="September,2016"/>
    <n v="129.9"/>
    <n v="138"/>
    <n v="130.5"/>
    <n v="134.4"/>
    <n v="117.2"/>
    <n v="136.1"/>
    <n v="150.69999999999999"/>
    <n v="171.5"/>
    <n v="113.8"/>
    <n v="138.80000000000001"/>
    <n v="126"/>
    <n v="140.19999999999999"/>
    <x v="107"/>
    <n v="141"/>
    <n v="134.6"/>
    <n v="128.6"/>
    <n v="133.80000000000001"/>
    <n v="127.9"/>
    <x v="97"/>
    <n v="127.9"/>
    <x v="107"/>
    <n v="114.3"/>
    <n v="122.9"/>
    <n v="131.80000000000001"/>
    <x v="98"/>
    <n v="122.8"/>
    <x v="105"/>
    <m/>
    <x v="0"/>
  </r>
  <r>
    <x v="0"/>
    <x v="3"/>
    <x v="9"/>
    <s v="October,2016"/>
    <n v="131.30000000000001"/>
    <n v="137.6"/>
    <n v="130.1"/>
    <n v="136"/>
    <n v="120.8"/>
    <n v="138.4"/>
    <n v="149.19999999999999"/>
    <n v="170.2"/>
    <n v="113.4"/>
    <n v="136.30000000000001"/>
    <n v="128.69999999999999"/>
    <n v="142.4"/>
    <x v="108"/>
    <n v="140.9"/>
    <n v="139.6"/>
    <n v="134.30000000000001"/>
    <n v="138.80000000000001"/>
    <s v="NA"/>
    <x v="98"/>
    <n v="131.80000000000001"/>
    <x v="108"/>
    <n v="117.8"/>
    <n v="126.5"/>
    <n v="133"/>
    <x v="99"/>
    <n v="125.7"/>
    <x v="106"/>
    <m/>
    <x v="0"/>
  </r>
  <r>
    <x v="1"/>
    <x v="3"/>
    <x v="9"/>
    <s v="October,2016"/>
    <n v="128.69999999999999"/>
    <n v="138.4"/>
    <n v="130.30000000000001"/>
    <n v="132.69999999999999"/>
    <n v="112.5"/>
    <n v="130.4"/>
    <n v="155.1"/>
    <n v="175.7"/>
    <n v="115.4"/>
    <n v="145.30000000000001"/>
    <n v="122.5"/>
    <n v="139.6"/>
    <x v="109"/>
    <n v="144.30000000000001"/>
    <n v="129.1"/>
    <n v="121.9"/>
    <n v="128"/>
    <n v="128.69999999999999"/>
    <x v="99"/>
    <n v="124.5"/>
    <x v="109"/>
    <n v="112.8"/>
    <n v="121.2"/>
    <n v="131.9"/>
    <x v="100"/>
    <n v="120.9"/>
    <x v="97"/>
    <m/>
    <x v="0"/>
  </r>
  <r>
    <x v="2"/>
    <x v="3"/>
    <x v="9"/>
    <s v="October,2016"/>
    <n v="130.5"/>
    <n v="137.9"/>
    <n v="130.19999999999999"/>
    <n v="134.80000000000001"/>
    <n v="117.8"/>
    <n v="134.69999999999999"/>
    <n v="151.19999999999999"/>
    <n v="172.1"/>
    <n v="114.1"/>
    <n v="139.30000000000001"/>
    <n v="126.1"/>
    <n v="141.1"/>
    <x v="110"/>
    <n v="141.80000000000001"/>
    <n v="135.5"/>
    <n v="129.1"/>
    <n v="134.5"/>
    <n v="128.69999999999999"/>
    <x v="100"/>
    <n v="128.4"/>
    <x v="110"/>
    <n v="115.2"/>
    <n v="123.5"/>
    <n v="132.4"/>
    <x v="98"/>
    <n v="123.4"/>
    <x v="107"/>
    <m/>
    <x v="0"/>
  </r>
  <r>
    <x v="0"/>
    <x v="3"/>
    <x v="11"/>
    <s v="November,2016"/>
    <n v="132"/>
    <n v="137.4"/>
    <n v="130.6"/>
    <n v="136.19999999999999"/>
    <n v="121.1"/>
    <n v="136.9"/>
    <n v="141.80000000000001"/>
    <n v="170"/>
    <n v="113.4"/>
    <n v="136.80000000000001"/>
    <n v="128.69999999999999"/>
    <n v="143.1"/>
    <x v="107"/>
    <n v="141.19999999999999"/>
    <n v="139.9"/>
    <n v="134.5"/>
    <n v="139.19999999999999"/>
    <s v="NA"/>
    <x v="101"/>
    <n v="132.1"/>
    <x v="111"/>
    <n v="118.2"/>
    <n v="126.9"/>
    <n v="133.69999999999999"/>
    <x v="101"/>
    <n v="126.1"/>
    <x v="108"/>
    <m/>
    <x v="0"/>
  </r>
  <r>
    <x v="1"/>
    <x v="3"/>
    <x v="11"/>
    <s v="November,2016"/>
    <n v="130.19999999999999"/>
    <n v="138.5"/>
    <n v="134.1"/>
    <n v="132.9"/>
    <n v="112.6"/>
    <n v="130.80000000000001"/>
    <n v="142"/>
    <n v="174.9"/>
    <n v="115.6"/>
    <n v="145.4"/>
    <n v="122.7"/>
    <n v="140.30000000000001"/>
    <x v="111"/>
    <n v="144.30000000000001"/>
    <n v="129.6"/>
    <n v="122.1"/>
    <n v="128.5"/>
    <n v="129.1"/>
    <x v="102"/>
    <n v="124.7"/>
    <x v="112"/>
    <n v="113.4"/>
    <n v="121.7"/>
    <n v="132.1"/>
    <x v="102"/>
    <n v="121.3"/>
    <x v="109"/>
    <m/>
    <x v="0"/>
  </r>
  <r>
    <x v="2"/>
    <x v="3"/>
    <x v="11"/>
    <s v="November,2016"/>
    <n v="131.4"/>
    <n v="137.80000000000001"/>
    <n v="132"/>
    <n v="135"/>
    <n v="118"/>
    <n v="134.1"/>
    <n v="141.9"/>
    <n v="171.7"/>
    <n v="114.1"/>
    <n v="139.69999999999999"/>
    <n v="126.2"/>
    <n v="141.80000000000001"/>
    <x v="112"/>
    <n v="142"/>
    <n v="135.80000000000001"/>
    <n v="129.30000000000001"/>
    <n v="135"/>
    <n v="129.1"/>
    <x v="103"/>
    <n v="128.6"/>
    <x v="113"/>
    <n v="115.7"/>
    <n v="124"/>
    <n v="132.80000000000001"/>
    <x v="103"/>
    <n v="123.8"/>
    <x v="110"/>
    <m/>
    <x v="0"/>
  </r>
  <r>
    <x v="0"/>
    <x v="3"/>
    <x v="12"/>
    <s v="December,2016"/>
    <n v="132.6"/>
    <n v="137.30000000000001"/>
    <n v="131.6"/>
    <n v="136.30000000000001"/>
    <n v="121.6"/>
    <n v="135.6"/>
    <n v="127.5"/>
    <n v="167.9"/>
    <n v="113.8"/>
    <n v="137.5"/>
    <n v="129.1"/>
    <n v="143.6"/>
    <x v="113"/>
    <n v="142.4"/>
    <n v="140.4"/>
    <n v="135.19999999999999"/>
    <n v="139.69999999999999"/>
    <s v="NA"/>
    <x v="104"/>
    <n v="132.9"/>
    <x v="114"/>
    <n v="118.6"/>
    <n v="127.3"/>
    <n v="134.19999999999999"/>
    <x v="104"/>
    <n v="126.3"/>
    <x v="111"/>
    <m/>
    <x v="0"/>
  </r>
  <r>
    <x v="1"/>
    <x v="3"/>
    <x v="12"/>
    <s v="December,2016"/>
    <n v="131.6"/>
    <n v="138.19999999999999"/>
    <n v="134.9"/>
    <n v="133.1"/>
    <n v="113.5"/>
    <n v="129.30000000000001"/>
    <n v="121.1"/>
    <n v="170.3"/>
    <n v="115.5"/>
    <n v="145.5"/>
    <n v="123.1"/>
    <n v="140.9"/>
    <x v="114"/>
    <n v="145"/>
    <n v="130"/>
    <n v="122.2"/>
    <n v="128.80000000000001"/>
    <n v="128.5"/>
    <x v="105"/>
    <n v="125"/>
    <x v="115"/>
    <n v="113.7"/>
    <n v="121.8"/>
    <n v="132.30000000000001"/>
    <x v="88"/>
    <n v="121.4"/>
    <x v="112"/>
    <m/>
    <x v="0"/>
  </r>
  <r>
    <x v="2"/>
    <x v="3"/>
    <x v="12"/>
    <s v="December,2016"/>
    <n v="132.30000000000001"/>
    <n v="137.6"/>
    <n v="132.9"/>
    <n v="135.1"/>
    <n v="118.6"/>
    <n v="132.69999999999999"/>
    <n v="125.3"/>
    <n v="168.7"/>
    <n v="114.4"/>
    <n v="140.19999999999999"/>
    <n v="126.6"/>
    <n v="142.30000000000001"/>
    <x v="96"/>
    <n v="143.1"/>
    <n v="136.30000000000001"/>
    <n v="129.80000000000001"/>
    <n v="135.4"/>
    <n v="128.5"/>
    <x v="106"/>
    <n v="129.19999999999999"/>
    <x v="116"/>
    <n v="116"/>
    <n v="124.2"/>
    <n v="133.1"/>
    <x v="105"/>
    <n v="123.9"/>
    <x v="113"/>
    <m/>
    <x v="0"/>
  </r>
  <r>
    <x v="0"/>
    <x v="4"/>
    <x v="0"/>
    <s v="January,2017"/>
    <n v="133.1"/>
    <n v="137.80000000000001"/>
    <n v="131.9"/>
    <n v="136.69999999999999"/>
    <n v="122"/>
    <n v="136"/>
    <n v="119.8"/>
    <n v="161.69999999999999"/>
    <n v="114.8"/>
    <n v="136.9"/>
    <n v="129"/>
    <n v="143.9"/>
    <x v="115"/>
    <n v="143.1"/>
    <n v="140.69999999999999"/>
    <n v="135.80000000000001"/>
    <n v="140"/>
    <s v="NA"/>
    <x v="107"/>
    <n v="133.19999999999999"/>
    <x v="117"/>
    <n v="119.1"/>
    <n v="127"/>
    <n v="134.6"/>
    <x v="106"/>
    <n v="126.6"/>
    <x v="114"/>
    <m/>
    <x v="0"/>
  </r>
  <r>
    <x v="1"/>
    <x v="4"/>
    <x v="0"/>
    <s v="January,2017"/>
    <n v="132.19999999999999"/>
    <n v="138.9"/>
    <n v="132.6"/>
    <n v="133.1"/>
    <n v="114"/>
    <n v="129.6"/>
    <n v="118.7"/>
    <n v="155.1"/>
    <n v="117.3"/>
    <n v="144.9"/>
    <n v="123.2"/>
    <n v="141.6"/>
    <x v="116"/>
    <n v="145.6"/>
    <n v="130.19999999999999"/>
    <n v="122.3"/>
    <n v="129"/>
    <n v="129.6"/>
    <x v="108"/>
    <n v="125.1"/>
    <x v="82"/>
    <n v="115.2"/>
    <n v="122"/>
    <n v="132.4"/>
    <x v="91"/>
    <n v="122.1"/>
    <x v="115"/>
    <m/>
    <x v="0"/>
  </r>
  <r>
    <x v="2"/>
    <x v="4"/>
    <x v="0"/>
    <s v="January,2017"/>
    <n v="132.80000000000001"/>
    <n v="138.19999999999999"/>
    <n v="132.19999999999999"/>
    <n v="135.4"/>
    <n v="119.1"/>
    <n v="133"/>
    <n v="119.4"/>
    <n v="159.5"/>
    <n v="115.6"/>
    <n v="139.6"/>
    <n v="126.6"/>
    <n v="142.80000000000001"/>
    <x v="117"/>
    <n v="143.80000000000001"/>
    <n v="136.6"/>
    <n v="130.19999999999999"/>
    <n v="135.6"/>
    <n v="129.6"/>
    <x v="109"/>
    <n v="129.4"/>
    <x v="118"/>
    <n v="117"/>
    <n v="124.2"/>
    <n v="133.30000000000001"/>
    <x v="107"/>
    <n v="124.4"/>
    <x v="96"/>
    <m/>
    <x v="0"/>
  </r>
  <r>
    <x v="0"/>
    <x v="4"/>
    <x v="1"/>
    <s v="February,2017"/>
    <n v="133.30000000000001"/>
    <n v="138.30000000000001"/>
    <n v="129.30000000000001"/>
    <n v="137.19999999999999"/>
    <n v="122.1"/>
    <n v="138.69999999999999"/>
    <n v="119.1"/>
    <n v="156.9"/>
    <n v="116.2"/>
    <n v="136"/>
    <n v="129.4"/>
    <n v="144.4"/>
    <x v="94"/>
    <n v="143.69999999999999"/>
    <n v="140.9"/>
    <n v="135.80000000000001"/>
    <n v="140.19999999999999"/>
    <s v="NA"/>
    <x v="110"/>
    <n v="133.6"/>
    <x v="119"/>
    <n v="119.5"/>
    <n v="127.7"/>
    <n v="134.9"/>
    <x v="108"/>
    <n v="127"/>
    <x v="116"/>
    <m/>
    <x v="0"/>
  </r>
  <r>
    <x v="1"/>
    <x v="4"/>
    <x v="1"/>
    <s v="February,2017"/>
    <n v="132.80000000000001"/>
    <n v="139.80000000000001"/>
    <n v="129.30000000000001"/>
    <n v="133.5"/>
    <n v="114.3"/>
    <n v="131.4"/>
    <n v="120.2"/>
    <n v="143.1"/>
    <n v="119.5"/>
    <n v="144"/>
    <n v="123.4"/>
    <n v="141.9"/>
    <x v="85"/>
    <n v="146.30000000000001"/>
    <n v="130.5"/>
    <n v="122.5"/>
    <n v="129.30000000000001"/>
    <n v="130.5"/>
    <x v="62"/>
    <n v="125.3"/>
    <x v="93"/>
    <n v="115.5"/>
    <n v="122.2"/>
    <n v="132.4"/>
    <x v="107"/>
    <n v="122.4"/>
    <x v="117"/>
    <m/>
    <x v="0"/>
  </r>
  <r>
    <x v="2"/>
    <x v="4"/>
    <x v="1"/>
    <s v="February,2017"/>
    <n v="133.1"/>
    <n v="138.80000000000001"/>
    <n v="129.30000000000001"/>
    <n v="135.80000000000001"/>
    <n v="119.2"/>
    <n v="135.30000000000001"/>
    <n v="119.5"/>
    <n v="152.19999999999999"/>
    <n v="117.3"/>
    <n v="138.69999999999999"/>
    <n v="126.9"/>
    <n v="143.19999999999999"/>
    <x v="118"/>
    <n v="144.4"/>
    <n v="136.80000000000001"/>
    <n v="130.30000000000001"/>
    <n v="135.9"/>
    <n v="130.5"/>
    <x v="111"/>
    <n v="129.69999999999999"/>
    <x v="120"/>
    <n v="117.4"/>
    <n v="124.6"/>
    <n v="133.4"/>
    <x v="103"/>
    <n v="124.8"/>
    <x v="118"/>
    <m/>
    <x v="0"/>
  </r>
  <r>
    <x v="0"/>
    <x v="4"/>
    <x v="2"/>
    <s v="March,2017"/>
    <n v="133.6"/>
    <n v="138.80000000000001"/>
    <n v="128.80000000000001"/>
    <n v="137.19999999999999"/>
    <n v="121.6"/>
    <n v="139.69999999999999"/>
    <n v="119.7"/>
    <n v="148"/>
    <n v="116.9"/>
    <n v="135.6"/>
    <n v="129.80000000000001"/>
    <n v="145.4"/>
    <x v="119"/>
    <n v="144.19999999999999"/>
    <n v="141.6"/>
    <n v="136.19999999999999"/>
    <n v="140.80000000000001"/>
    <s v="NA"/>
    <x v="112"/>
    <n v="134.1"/>
    <x v="121"/>
    <n v="119.8"/>
    <n v="128.30000000000001"/>
    <n v="135.19999999999999"/>
    <x v="109"/>
    <n v="127.4"/>
    <x v="111"/>
    <m/>
    <x v="0"/>
  </r>
  <r>
    <x v="1"/>
    <x v="4"/>
    <x v="2"/>
    <s v="March,2017"/>
    <n v="132.69999999999999"/>
    <n v="139.4"/>
    <n v="128.4"/>
    <n v="134.9"/>
    <n v="114"/>
    <n v="136.80000000000001"/>
    <n v="122.2"/>
    <n v="135.80000000000001"/>
    <n v="120.3"/>
    <n v="142.6"/>
    <n v="123.6"/>
    <n v="142.4"/>
    <x v="84"/>
    <n v="147.5"/>
    <n v="130.80000000000001"/>
    <n v="122.8"/>
    <n v="129.6"/>
    <n v="131.1"/>
    <x v="72"/>
    <n v="125.6"/>
    <x v="85"/>
    <n v="115.6"/>
    <n v="122.4"/>
    <n v="132.80000000000001"/>
    <x v="107"/>
    <n v="122.6"/>
    <x v="119"/>
    <m/>
    <x v="0"/>
  </r>
  <r>
    <x v="2"/>
    <x v="4"/>
    <x v="2"/>
    <s v="March,2017"/>
    <n v="133.30000000000001"/>
    <n v="139"/>
    <n v="128.6"/>
    <n v="136.30000000000001"/>
    <n v="118.8"/>
    <n v="138.30000000000001"/>
    <n v="120.5"/>
    <n v="143.9"/>
    <n v="118"/>
    <n v="137.9"/>
    <n v="127.2"/>
    <n v="144"/>
    <x v="117"/>
    <n v="145.1"/>
    <n v="137.30000000000001"/>
    <n v="130.6"/>
    <n v="136.4"/>
    <n v="131.1"/>
    <x v="94"/>
    <n v="130.1"/>
    <x v="106"/>
    <n v="117.6"/>
    <n v="125"/>
    <n v="133.80000000000001"/>
    <x v="103"/>
    <n v="125.1"/>
    <x v="105"/>
    <m/>
    <x v="0"/>
  </r>
  <r>
    <x v="0"/>
    <x v="4"/>
    <x v="3"/>
    <s v="April,2017"/>
    <n v="133.19999999999999"/>
    <n v="138.69999999999999"/>
    <n v="127.1"/>
    <n v="137.69999999999999"/>
    <n v="121.3"/>
    <n v="141.80000000000001"/>
    <n v="121.5"/>
    <n v="144.5"/>
    <n v="117.4"/>
    <n v="134.1"/>
    <n v="130"/>
    <n v="145.5"/>
    <x v="120"/>
    <n v="144.4"/>
    <n v="142.4"/>
    <n v="136.80000000000001"/>
    <n v="141.6"/>
    <s v="NA"/>
    <x v="113"/>
    <n v="134.30000000000001"/>
    <x v="122"/>
    <n v="119.2"/>
    <n v="128.30000000000001"/>
    <n v="135.69999999999999"/>
    <x v="110"/>
    <n v="127.5"/>
    <x v="120"/>
    <m/>
    <x v="0"/>
  </r>
  <r>
    <x v="1"/>
    <x v="4"/>
    <x v="3"/>
    <s v="April,2017"/>
    <n v="132.69999999999999"/>
    <n v="140.6"/>
    <n v="124.5"/>
    <n v="136.30000000000001"/>
    <n v="113.5"/>
    <n v="137.69999999999999"/>
    <n v="127.1"/>
    <n v="133.80000000000001"/>
    <n v="120.8"/>
    <n v="141.30000000000001"/>
    <n v="123.8"/>
    <n v="142.6"/>
    <x v="119"/>
    <n v="148"/>
    <n v="131.19999999999999"/>
    <n v="123"/>
    <n v="130"/>
    <n v="131.69999999999999"/>
    <x v="114"/>
    <n v="126"/>
    <x v="123"/>
    <n v="114.3"/>
    <n v="122.6"/>
    <n v="133.6"/>
    <x v="111"/>
    <n v="122.5"/>
    <x v="121"/>
    <m/>
    <x v="0"/>
  </r>
  <r>
    <x v="2"/>
    <x v="4"/>
    <x v="3"/>
    <s v="April,2017"/>
    <n v="133"/>
    <n v="139.4"/>
    <n v="126.1"/>
    <n v="137.19999999999999"/>
    <n v="118.4"/>
    <n v="139.9"/>
    <n v="123.4"/>
    <n v="140.9"/>
    <n v="118.5"/>
    <n v="136.5"/>
    <n v="127.4"/>
    <n v="144.19999999999999"/>
    <x v="120"/>
    <n v="145.4"/>
    <n v="138"/>
    <n v="131.1"/>
    <n v="137"/>
    <n v="131.69999999999999"/>
    <x v="98"/>
    <n v="130.4"/>
    <x v="124"/>
    <n v="116.6"/>
    <n v="125.1"/>
    <n v="134.5"/>
    <x v="112"/>
    <n v="125.1"/>
    <x v="101"/>
    <m/>
    <x v="0"/>
  </r>
  <r>
    <x v="0"/>
    <x v="4"/>
    <x v="4"/>
    <s v="May,2017"/>
    <n v="133.1"/>
    <n v="140.30000000000001"/>
    <n v="126.8"/>
    <n v="138.19999999999999"/>
    <n v="120.8"/>
    <n v="140.19999999999999"/>
    <n v="123.8"/>
    <n v="141.80000000000001"/>
    <n v="118.6"/>
    <n v="134"/>
    <n v="130.30000000000001"/>
    <n v="145.80000000000001"/>
    <x v="121"/>
    <n v="145.5"/>
    <n v="142.5"/>
    <n v="137.30000000000001"/>
    <n v="141.80000000000001"/>
    <s v="NA"/>
    <x v="113"/>
    <n v="134.9"/>
    <x v="125"/>
    <n v="119.4"/>
    <n v="129.4"/>
    <n v="136.30000000000001"/>
    <x v="110"/>
    <n v="127.9"/>
    <x v="122"/>
    <m/>
    <x v="0"/>
  </r>
  <r>
    <x v="1"/>
    <x v="4"/>
    <x v="4"/>
    <s v="May,2017"/>
    <n v="132.6"/>
    <n v="144.1"/>
    <n v="125.6"/>
    <n v="136.80000000000001"/>
    <n v="113.4"/>
    <n v="135.19999999999999"/>
    <n v="129.19999999999999"/>
    <n v="131.5"/>
    <n v="121"/>
    <n v="139.9"/>
    <n v="123.8"/>
    <n v="142.9"/>
    <x v="94"/>
    <n v="148.30000000000001"/>
    <n v="131.5"/>
    <n v="123.2"/>
    <n v="130.19999999999999"/>
    <n v="132.1"/>
    <x v="67"/>
    <n v="126.5"/>
    <x v="126"/>
    <n v="114.3"/>
    <n v="122.8"/>
    <n v="133.80000000000001"/>
    <x v="94"/>
    <n v="122.6"/>
    <x v="123"/>
    <m/>
    <x v="0"/>
  </r>
  <r>
    <x v="2"/>
    <x v="4"/>
    <x v="4"/>
    <s v="May,2017"/>
    <n v="132.9"/>
    <n v="141.6"/>
    <n v="126.3"/>
    <n v="137.69999999999999"/>
    <n v="118.1"/>
    <n v="137.9"/>
    <n v="125.6"/>
    <n v="138.30000000000001"/>
    <n v="119.4"/>
    <n v="136"/>
    <n v="127.6"/>
    <n v="144.5"/>
    <x v="115"/>
    <n v="146.19999999999999"/>
    <n v="138.19999999999999"/>
    <n v="131.4"/>
    <n v="137.19999999999999"/>
    <n v="132.1"/>
    <x v="115"/>
    <n v="130.9"/>
    <x v="127"/>
    <n v="116.7"/>
    <n v="125.7"/>
    <n v="134.80000000000001"/>
    <x v="99"/>
    <n v="125.3"/>
    <x v="107"/>
    <m/>
    <x v="0"/>
  </r>
  <r>
    <x v="0"/>
    <x v="4"/>
    <x v="5"/>
    <s v="June,2017"/>
    <n v="133.5"/>
    <n v="143.69999999999999"/>
    <n v="128"/>
    <n v="138.6"/>
    <n v="120.9"/>
    <n v="140.9"/>
    <n v="128.80000000000001"/>
    <n v="140.19999999999999"/>
    <n v="118.9"/>
    <n v="133.5"/>
    <n v="130.4"/>
    <n v="146.5"/>
    <x v="122"/>
    <n v="145.80000000000001"/>
    <n v="143.1"/>
    <n v="137.69999999999999"/>
    <n v="142.30000000000001"/>
    <s v="NA"/>
    <x v="116"/>
    <n v="135.19999999999999"/>
    <x v="128"/>
    <n v="119.4"/>
    <n v="129.80000000000001"/>
    <n v="136.9"/>
    <x v="113"/>
    <n v="128.1"/>
    <x v="124"/>
    <m/>
    <x v="0"/>
  </r>
  <r>
    <x v="1"/>
    <x v="4"/>
    <x v="5"/>
    <s v="June,2017"/>
    <n v="132.9"/>
    <n v="148.69999999999999"/>
    <n v="128.30000000000001"/>
    <n v="137.30000000000001"/>
    <n v="113.5"/>
    <n v="137.19999999999999"/>
    <n v="142.19999999999999"/>
    <n v="128.19999999999999"/>
    <n v="120.9"/>
    <n v="138.80000000000001"/>
    <n v="124.2"/>
    <n v="143.1"/>
    <x v="106"/>
    <n v="148.6"/>
    <n v="131.5"/>
    <n v="123.2"/>
    <n v="130.19999999999999"/>
    <n v="131.4"/>
    <x v="117"/>
    <n v="126.8"/>
    <x v="129"/>
    <n v="113.9"/>
    <n v="122.9"/>
    <n v="134.30000000000001"/>
    <x v="114"/>
    <n v="122.7"/>
    <x v="125"/>
    <m/>
    <x v="0"/>
  </r>
  <r>
    <x v="2"/>
    <x v="4"/>
    <x v="5"/>
    <s v="June,2017"/>
    <n v="133.30000000000001"/>
    <n v="145.5"/>
    <n v="128.1"/>
    <n v="138.1"/>
    <n v="118.2"/>
    <n v="139.19999999999999"/>
    <n v="133.30000000000001"/>
    <n v="136.19999999999999"/>
    <n v="119.6"/>
    <n v="135.30000000000001"/>
    <n v="127.8"/>
    <n v="144.9"/>
    <x v="111"/>
    <n v="146.5"/>
    <n v="138.5"/>
    <n v="131.69999999999999"/>
    <n v="137.5"/>
    <n v="131.4"/>
    <x v="118"/>
    <n v="131.19999999999999"/>
    <x v="130"/>
    <n v="116.5"/>
    <n v="125.9"/>
    <n v="135.4"/>
    <x v="115"/>
    <n v="125.5"/>
    <x v="126"/>
    <m/>
    <x v="0"/>
  </r>
  <r>
    <x v="0"/>
    <x v="4"/>
    <x v="6"/>
    <s v="July,2017"/>
    <n v="134"/>
    <n v="144.19999999999999"/>
    <n v="129.80000000000001"/>
    <n v="139"/>
    <n v="120.9"/>
    <n v="143.9"/>
    <n v="151.5"/>
    <n v="138.1"/>
    <n v="120"/>
    <n v="133.9"/>
    <n v="131.4"/>
    <n v="147.69999999999999"/>
    <x v="123"/>
    <n v="147.4"/>
    <n v="144.30000000000001"/>
    <n v="138.1"/>
    <n v="143.5"/>
    <s v="NA"/>
    <x v="119"/>
    <n v="136.1"/>
    <x v="131"/>
    <n v="119.1"/>
    <n v="130.6"/>
    <n v="138.6"/>
    <x v="116"/>
    <n v="128.6"/>
    <x v="127"/>
    <m/>
    <x v="0"/>
  </r>
  <r>
    <x v="1"/>
    <x v="4"/>
    <x v="6"/>
    <s v="July,2017"/>
    <n v="132.80000000000001"/>
    <n v="148.4"/>
    <n v="129.4"/>
    <n v="137.69999999999999"/>
    <n v="113.4"/>
    <n v="139.4"/>
    <n v="175.1"/>
    <n v="124.7"/>
    <n v="121.5"/>
    <n v="137.80000000000001"/>
    <n v="124.4"/>
    <n v="143.69999999999999"/>
    <x v="101"/>
    <n v="150.5"/>
    <n v="131.6"/>
    <n v="123.7"/>
    <n v="130.4"/>
    <n v="132.6"/>
    <x v="120"/>
    <n v="127.2"/>
    <x v="132"/>
    <n v="113.2"/>
    <n v="123.5"/>
    <n v="135.5"/>
    <x v="117"/>
    <n v="123"/>
    <x v="128"/>
    <m/>
    <x v="0"/>
  </r>
  <r>
    <x v="2"/>
    <x v="4"/>
    <x v="6"/>
    <s v="July,2017"/>
    <n v="133.6"/>
    <n v="145.69999999999999"/>
    <n v="129.6"/>
    <n v="138.5"/>
    <n v="118.1"/>
    <n v="141.80000000000001"/>
    <n v="159.5"/>
    <n v="133.6"/>
    <n v="120.5"/>
    <n v="135.19999999999999"/>
    <n v="128.5"/>
    <n v="145.80000000000001"/>
    <x v="124"/>
    <n v="148.19999999999999"/>
    <n v="139.30000000000001"/>
    <n v="132.1"/>
    <n v="138.30000000000001"/>
    <n v="132.6"/>
    <x v="115"/>
    <n v="131.9"/>
    <x v="133"/>
    <n v="116"/>
    <n v="126.6"/>
    <n v="136.80000000000001"/>
    <x v="118"/>
    <n v="125.9"/>
    <x v="129"/>
    <m/>
    <x v="0"/>
  </r>
  <r>
    <x v="0"/>
    <x v="4"/>
    <x v="7"/>
    <s v="August,2017"/>
    <n v="134.80000000000001"/>
    <n v="143.1"/>
    <n v="130"/>
    <n v="139.4"/>
    <n v="120.5"/>
    <n v="148"/>
    <n v="162.9"/>
    <n v="137.4"/>
    <n v="120.8"/>
    <n v="134.69999999999999"/>
    <n v="131.6"/>
    <n v="148.69999999999999"/>
    <x v="125"/>
    <n v="149"/>
    <n v="145.30000000000001"/>
    <n v="139.19999999999999"/>
    <n v="144.5"/>
    <s v="NA"/>
    <x v="121"/>
    <n v="137.30000000000001"/>
    <x v="134"/>
    <n v="120.3"/>
    <n v="131.5"/>
    <n v="140.19999999999999"/>
    <x v="119"/>
    <n v="129.69999999999999"/>
    <x v="130"/>
    <m/>
    <x v="0"/>
  </r>
  <r>
    <x v="1"/>
    <x v="4"/>
    <x v="7"/>
    <s v="August,2017"/>
    <n v="133.19999999999999"/>
    <n v="143.9"/>
    <n v="128.30000000000001"/>
    <n v="138.30000000000001"/>
    <n v="114.1"/>
    <n v="142.69999999999999"/>
    <n v="179.8"/>
    <n v="123.5"/>
    <n v="122.1"/>
    <n v="137.5"/>
    <n v="124.6"/>
    <n v="144.5"/>
    <x v="126"/>
    <n v="152.1"/>
    <n v="132.69999999999999"/>
    <n v="124.3"/>
    <n v="131.4"/>
    <n v="134.4"/>
    <x v="122"/>
    <n v="127.7"/>
    <x v="135"/>
    <n v="114.6"/>
    <n v="124.1"/>
    <n v="135.69999999999999"/>
    <x v="109"/>
    <n v="123.8"/>
    <x v="131"/>
    <m/>
    <x v="0"/>
  </r>
  <r>
    <x v="2"/>
    <x v="4"/>
    <x v="7"/>
    <s v="August,2017"/>
    <n v="134.30000000000001"/>
    <n v="143.4"/>
    <n v="129.30000000000001"/>
    <n v="139"/>
    <n v="118.1"/>
    <n v="145.5"/>
    <n v="168.6"/>
    <n v="132.69999999999999"/>
    <n v="121.2"/>
    <n v="135.6"/>
    <n v="128.69999999999999"/>
    <n v="146.80000000000001"/>
    <x v="125"/>
    <n v="149.80000000000001"/>
    <n v="140.30000000000001"/>
    <n v="133"/>
    <n v="139.30000000000001"/>
    <n v="134.4"/>
    <x v="98"/>
    <n v="132.80000000000001"/>
    <x v="136"/>
    <n v="117.3"/>
    <n v="127.3"/>
    <n v="137.6"/>
    <x v="120"/>
    <n v="126.8"/>
    <x v="132"/>
    <m/>
    <x v="0"/>
  </r>
  <r>
    <x v="0"/>
    <x v="4"/>
    <x v="8"/>
    <s v="September,2017"/>
    <n v="135.19999999999999"/>
    <n v="142"/>
    <n v="130.5"/>
    <n v="140.19999999999999"/>
    <n v="120.7"/>
    <n v="147.80000000000001"/>
    <n v="154.5"/>
    <n v="137.1"/>
    <n v="121"/>
    <n v="134.69999999999999"/>
    <n v="131.69999999999999"/>
    <n v="149.30000000000001"/>
    <x v="127"/>
    <n v="149.80000000000001"/>
    <n v="146.1"/>
    <n v="139.69999999999999"/>
    <n v="145.19999999999999"/>
    <s v="NA"/>
    <x v="123"/>
    <n v="137.9"/>
    <x v="137"/>
    <n v="121.2"/>
    <n v="132.30000000000001"/>
    <n v="139.6"/>
    <x v="121"/>
    <n v="130.30000000000001"/>
    <x v="133"/>
    <m/>
    <x v="0"/>
  </r>
  <r>
    <x v="1"/>
    <x v="4"/>
    <x v="8"/>
    <s v="September,2017"/>
    <n v="133.6"/>
    <n v="143"/>
    <n v="129.69999999999999"/>
    <n v="138.69999999999999"/>
    <n v="114.5"/>
    <n v="137.5"/>
    <n v="160.69999999999999"/>
    <n v="124.5"/>
    <n v="122.4"/>
    <n v="137.30000000000001"/>
    <n v="124.8"/>
    <n v="145"/>
    <x v="103"/>
    <n v="153.6"/>
    <n v="133.30000000000001"/>
    <n v="124.6"/>
    <n v="132"/>
    <n v="135.69999999999999"/>
    <x v="56"/>
    <n v="128.1"/>
    <x v="110"/>
    <n v="115.7"/>
    <n v="124.5"/>
    <n v="135.9"/>
    <x v="116"/>
    <n v="124.5"/>
    <x v="114"/>
    <m/>
    <x v="0"/>
  </r>
  <r>
    <x v="2"/>
    <x v="4"/>
    <x v="8"/>
    <s v="September,2017"/>
    <n v="134.69999999999999"/>
    <n v="142.4"/>
    <n v="130.19999999999999"/>
    <n v="139.6"/>
    <n v="118.4"/>
    <n v="143"/>
    <n v="156.6"/>
    <n v="132.9"/>
    <n v="121.5"/>
    <n v="135.6"/>
    <n v="128.80000000000001"/>
    <n v="147.30000000000001"/>
    <x v="124"/>
    <n v="150.80000000000001"/>
    <n v="141.1"/>
    <n v="133.4"/>
    <n v="140"/>
    <n v="135.69999999999999"/>
    <x v="124"/>
    <n v="133.30000000000001"/>
    <x v="121"/>
    <n v="118.3"/>
    <n v="127.9"/>
    <n v="137.4"/>
    <x v="122"/>
    <n v="127.5"/>
    <x v="134"/>
    <m/>
    <x v="0"/>
  </r>
  <r>
    <x v="0"/>
    <x v="4"/>
    <x v="9"/>
    <s v="October,2017"/>
    <n v="135.9"/>
    <n v="141.9"/>
    <n v="131"/>
    <n v="141.5"/>
    <n v="121.4"/>
    <n v="146.69999999999999"/>
    <n v="157.1"/>
    <n v="136.4"/>
    <n v="121.4"/>
    <n v="135.6"/>
    <n v="131.30000000000001"/>
    <n v="150.30000000000001"/>
    <x v="128"/>
    <n v="150.5"/>
    <n v="147.19999999999999"/>
    <n v="140.6"/>
    <n v="146.19999999999999"/>
    <s v="NA"/>
    <x v="125"/>
    <n v="138.4"/>
    <x v="138"/>
    <n v="121"/>
    <n v="133"/>
    <n v="140.1"/>
    <x v="123"/>
    <n v="130.69999999999999"/>
    <x v="135"/>
    <m/>
    <x v="0"/>
  </r>
  <r>
    <x v="1"/>
    <x v="4"/>
    <x v="9"/>
    <s v="October,2017"/>
    <n v="133.9"/>
    <n v="142.80000000000001"/>
    <n v="131.4"/>
    <n v="139.1"/>
    <n v="114.9"/>
    <n v="135.6"/>
    <n v="173.2"/>
    <n v="124.1"/>
    <n v="122.6"/>
    <n v="137.80000000000001"/>
    <n v="125.1"/>
    <n v="145.5"/>
    <x v="129"/>
    <n v="154.6"/>
    <n v="134"/>
    <n v="124.9"/>
    <n v="132.6"/>
    <n v="137.30000000000001"/>
    <x v="63"/>
    <n v="128.30000000000001"/>
    <x v="139"/>
    <n v="115"/>
    <n v="124.8"/>
    <n v="136.30000000000001"/>
    <x v="124"/>
    <n v="124.5"/>
    <x v="102"/>
    <m/>
    <x v="0"/>
  </r>
  <r>
    <x v="2"/>
    <x v="4"/>
    <x v="9"/>
    <s v="October,2017"/>
    <n v="135.30000000000001"/>
    <n v="142.19999999999999"/>
    <n v="131.19999999999999"/>
    <n v="140.6"/>
    <n v="119"/>
    <n v="141.5"/>
    <n v="162.6"/>
    <n v="132.30000000000001"/>
    <n v="121.8"/>
    <n v="136.30000000000001"/>
    <n v="128.69999999999999"/>
    <n v="148.1"/>
    <x v="130"/>
    <n v="151.6"/>
    <n v="142"/>
    <n v="134.1"/>
    <n v="140.80000000000001"/>
    <n v="137.30000000000001"/>
    <x v="126"/>
    <n v="133.6"/>
    <x v="128"/>
    <n v="117.8"/>
    <n v="128.4"/>
    <n v="137.9"/>
    <x v="125"/>
    <n v="127.7"/>
    <x v="136"/>
    <m/>
    <x v="0"/>
  </r>
  <r>
    <x v="0"/>
    <x v="4"/>
    <x v="11"/>
    <s v="November,2017"/>
    <n v="136.30000000000001"/>
    <n v="142.5"/>
    <n v="140.5"/>
    <n v="141.5"/>
    <n v="121.6"/>
    <n v="147.30000000000001"/>
    <n v="168"/>
    <n v="135.80000000000001"/>
    <n v="122.5"/>
    <n v="136"/>
    <n v="131.9"/>
    <n v="151.4"/>
    <x v="131"/>
    <n v="152.1"/>
    <n v="148.19999999999999"/>
    <n v="141.5"/>
    <n v="147.30000000000001"/>
    <s v="NA"/>
    <x v="127"/>
    <n v="139.4"/>
    <x v="140"/>
    <n v="121.6"/>
    <n v="133.69999999999999"/>
    <n v="141.5"/>
    <x v="126"/>
    <n v="131.69999999999999"/>
    <x v="137"/>
    <m/>
    <x v="0"/>
  </r>
  <r>
    <x v="1"/>
    <x v="4"/>
    <x v="11"/>
    <s v="November,2017"/>
    <n v="134.30000000000001"/>
    <n v="142.1"/>
    <n v="146.69999999999999"/>
    <n v="139.5"/>
    <n v="115.2"/>
    <n v="136.4"/>
    <n v="185.2"/>
    <n v="122.2"/>
    <n v="123.9"/>
    <n v="138.30000000000001"/>
    <n v="125.4"/>
    <n v="146"/>
    <x v="132"/>
    <n v="156.19999999999999"/>
    <n v="135"/>
    <n v="125.4"/>
    <n v="133.5"/>
    <n v="138.6"/>
    <x v="75"/>
    <n v="128.80000000000001"/>
    <x v="120"/>
    <n v="115.3"/>
    <n v="125.1"/>
    <n v="136.6"/>
    <x v="127"/>
    <n v="124.9"/>
    <x v="138"/>
    <m/>
    <x v="0"/>
  </r>
  <r>
    <x v="2"/>
    <x v="4"/>
    <x v="11"/>
    <s v="November,2017"/>
    <n v="135.69999999999999"/>
    <n v="142.4"/>
    <n v="142.9"/>
    <n v="140.80000000000001"/>
    <n v="119.2"/>
    <n v="142.19999999999999"/>
    <n v="173.8"/>
    <n v="131.19999999999999"/>
    <n v="123"/>
    <n v="136.80000000000001"/>
    <n v="129.19999999999999"/>
    <n v="148.9"/>
    <x v="133"/>
    <n v="153.19999999999999"/>
    <n v="143"/>
    <n v="134.80000000000001"/>
    <n v="141.80000000000001"/>
    <n v="138.6"/>
    <x v="119"/>
    <n v="134.4"/>
    <x v="141"/>
    <n v="118.3"/>
    <n v="128.9"/>
    <n v="138.6"/>
    <x v="128"/>
    <n v="128.4"/>
    <x v="133"/>
    <m/>
    <x v="0"/>
  </r>
  <r>
    <x v="0"/>
    <x v="4"/>
    <x v="12"/>
    <s v="December,2017"/>
    <n v="136.4"/>
    <n v="143.69999999999999"/>
    <n v="144.80000000000001"/>
    <n v="141.9"/>
    <n v="123.1"/>
    <n v="147.19999999999999"/>
    <n v="161"/>
    <n v="133.80000000000001"/>
    <n v="121.9"/>
    <n v="135.80000000000001"/>
    <n v="131.1"/>
    <n v="151.4"/>
    <x v="132"/>
    <n v="153.19999999999999"/>
    <n v="148"/>
    <n v="141.9"/>
    <n v="147.19999999999999"/>
    <s v="NA"/>
    <x v="128"/>
    <n v="139.5"/>
    <x v="142"/>
    <n v="122"/>
    <n v="133.4"/>
    <n v="141.1"/>
    <x v="129"/>
    <n v="131.9"/>
    <x v="139"/>
    <m/>
    <x v="0"/>
  </r>
  <r>
    <x v="1"/>
    <x v="4"/>
    <x v="12"/>
    <s v="December,2017"/>
    <n v="134.4"/>
    <n v="142.6"/>
    <n v="145.9"/>
    <n v="139.5"/>
    <n v="115.9"/>
    <n v="135"/>
    <n v="163.19999999999999"/>
    <n v="119.8"/>
    <n v="120.7"/>
    <n v="139.69999999999999"/>
    <n v="125.7"/>
    <n v="146.30000000000001"/>
    <x v="134"/>
    <n v="157"/>
    <n v="135.6"/>
    <n v="125.6"/>
    <n v="134"/>
    <n v="139.1"/>
    <x v="109"/>
    <n v="129.30000000000001"/>
    <x v="143"/>
    <n v="115.3"/>
    <n v="125.6"/>
    <n v="136.69999999999999"/>
    <x v="124"/>
    <n v="125.1"/>
    <x v="140"/>
    <m/>
    <x v="0"/>
  </r>
  <r>
    <x v="2"/>
    <x v="4"/>
    <x v="12"/>
    <s v="December,2017"/>
    <n v="135.80000000000001"/>
    <n v="143.30000000000001"/>
    <n v="145.19999999999999"/>
    <n v="141"/>
    <n v="120.5"/>
    <n v="141.5"/>
    <n v="161.69999999999999"/>
    <n v="129.1"/>
    <n v="121.5"/>
    <n v="137.1"/>
    <n v="128.80000000000001"/>
    <n v="149"/>
    <x v="126"/>
    <n v="154.19999999999999"/>
    <n v="143.1"/>
    <n v="135.1"/>
    <n v="142"/>
    <n v="139.1"/>
    <x v="129"/>
    <n v="134.69999999999999"/>
    <x v="144"/>
    <n v="118.5"/>
    <n v="129"/>
    <n v="138.5"/>
    <x v="130"/>
    <n v="128.6"/>
    <x v="141"/>
    <m/>
    <x v="0"/>
  </r>
  <r>
    <x v="0"/>
    <x v="5"/>
    <x v="0"/>
    <s v="January,2018"/>
    <n v="136.6"/>
    <n v="144.4"/>
    <n v="143.80000000000001"/>
    <n v="142"/>
    <n v="123.2"/>
    <n v="147.9"/>
    <n v="152.1"/>
    <n v="131.80000000000001"/>
    <n v="119.5"/>
    <n v="136"/>
    <n v="131.19999999999999"/>
    <n v="151.80000000000001"/>
    <x v="128"/>
    <n v="153.6"/>
    <n v="148.30000000000001"/>
    <n v="142.30000000000001"/>
    <n v="147.5"/>
    <s v="NA"/>
    <x v="130"/>
    <n v="139.80000000000001"/>
    <x v="145"/>
    <n v="122.7"/>
    <n v="134.30000000000001"/>
    <n v="141.6"/>
    <x v="131"/>
    <n v="132.30000000000001"/>
    <x v="142"/>
    <m/>
    <x v="0"/>
  </r>
  <r>
    <x v="1"/>
    <x v="5"/>
    <x v="0"/>
    <s v="January,2018"/>
    <n v="134.6"/>
    <n v="143.69999999999999"/>
    <n v="143.6"/>
    <n v="139.6"/>
    <n v="116.4"/>
    <n v="133.80000000000001"/>
    <n v="150.5"/>
    <n v="118.4"/>
    <n v="117.3"/>
    <n v="140.5"/>
    <n v="125.9"/>
    <n v="146.80000000000001"/>
    <x v="105"/>
    <n v="157.69999999999999"/>
    <n v="136"/>
    <n v="125.9"/>
    <n v="134.4"/>
    <n v="140.4"/>
    <x v="131"/>
    <n v="129.5"/>
    <x v="146"/>
    <n v="116.3"/>
    <n v="126.2"/>
    <n v="137.1"/>
    <x v="132"/>
    <n v="125.8"/>
    <x v="140"/>
    <m/>
    <x v="0"/>
  </r>
  <r>
    <x v="2"/>
    <x v="5"/>
    <x v="0"/>
    <s v="January,2018"/>
    <n v="136"/>
    <n v="144.19999999999999"/>
    <n v="143.69999999999999"/>
    <n v="141.1"/>
    <n v="120.7"/>
    <n v="141.30000000000001"/>
    <n v="151.6"/>
    <n v="127.3"/>
    <n v="118.8"/>
    <n v="137.5"/>
    <n v="129"/>
    <n v="149.5"/>
    <x v="135"/>
    <n v="154.69999999999999"/>
    <n v="143.5"/>
    <n v="135.5"/>
    <n v="142.30000000000001"/>
    <n v="140.4"/>
    <x v="129"/>
    <n v="134.9"/>
    <x v="147"/>
    <n v="119.3"/>
    <n v="129.69999999999999"/>
    <n v="139"/>
    <x v="133"/>
    <n v="129.1"/>
    <x v="143"/>
    <m/>
    <x v="0"/>
  </r>
  <r>
    <x v="0"/>
    <x v="5"/>
    <x v="1"/>
    <s v="February,2018"/>
    <n v="136.4"/>
    <n v="143.69999999999999"/>
    <n v="140.6"/>
    <n v="141.5"/>
    <n v="122.9"/>
    <n v="149.4"/>
    <n v="142.4"/>
    <n v="130.19999999999999"/>
    <n v="117.9"/>
    <n v="135.6"/>
    <n v="130.5"/>
    <n v="151.69999999999999"/>
    <x v="136"/>
    <n v="153.30000000000001"/>
    <n v="148.69999999999999"/>
    <n v="142.4"/>
    <n v="147.80000000000001"/>
    <s v="NA"/>
    <x v="132"/>
    <n v="139.9"/>
    <x v="148"/>
    <n v="123.3"/>
    <n v="134.30000000000001"/>
    <n v="141.5"/>
    <x v="134"/>
    <n v="132.5"/>
    <x v="144"/>
    <m/>
    <x v="0"/>
  </r>
  <r>
    <x v="1"/>
    <x v="5"/>
    <x v="1"/>
    <s v="February,2018"/>
    <n v="134.80000000000001"/>
    <n v="143"/>
    <n v="139.9"/>
    <n v="139.9"/>
    <n v="116.2"/>
    <n v="135.5"/>
    <n v="136.9"/>
    <n v="117"/>
    <n v="115.4"/>
    <n v="140.69999999999999"/>
    <n v="125.9"/>
    <n v="147.1"/>
    <x v="137"/>
    <n v="159.30000000000001"/>
    <n v="136.30000000000001"/>
    <n v="126.1"/>
    <n v="134.69999999999999"/>
    <n v="141.30000000000001"/>
    <x v="131"/>
    <n v="129.9"/>
    <x v="149"/>
    <n v="117.4"/>
    <n v="126.5"/>
    <n v="137.19999999999999"/>
    <x v="125"/>
    <n v="126.5"/>
    <x v="145"/>
    <m/>
    <x v="0"/>
  </r>
  <r>
    <x v="2"/>
    <x v="5"/>
    <x v="1"/>
    <s v="February,2018"/>
    <n v="135.9"/>
    <n v="143.5"/>
    <n v="140.30000000000001"/>
    <n v="140.9"/>
    <n v="120.4"/>
    <n v="142.9"/>
    <n v="140.5"/>
    <n v="125.8"/>
    <n v="117.1"/>
    <n v="137.30000000000001"/>
    <n v="128.6"/>
    <n v="149.6"/>
    <x v="100"/>
    <n v="154.9"/>
    <n v="143.80000000000001"/>
    <n v="135.6"/>
    <n v="142.6"/>
    <n v="141.30000000000001"/>
    <x v="133"/>
    <n v="135.19999999999999"/>
    <x v="150"/>
    <n v="120.2"/>
    <n v="129.9"/>
    <n v="139"/>
    <x v="135"/>
    <n v="129.6"/>
    <x v="146"/>
    <m/>
    <x v="0"/>
  </r>
  <r>
    <x v="0"/>
    <x v="5"/>
    <x v="2"/>
    <s v="March,2018"/>
    <n v="136.80000000000001"/>
    <n v="143.80000000000001"/>
    <n v="140"/>
    <n v="142"/>
    <n v="123.2"/>
    <n v="152.9"/>
    <n v="138"/>
    <n v="129.30000000000001"/>
    <n v="117.1"/>
    <n v="136.30000000000001"/>
    <n v="131.19999999999999"/>
    <n v="152.80000000000001"/>
    <x v="138"/>
    <n v="155.1"/>
    <n v="149.19999999999999"/>
    <n v="143"/>
    <n v="148.30000000000001"/>
    <s v="NA"/>
    <x v="128"/>
    <n v="139.9"/>
    <x v="151"/>
    <n v="124.6"/>
    <n v="135.1"/>
    <n v="142.69999999999999"/>
    <x v="136"/>
    <n v="133.30000000000001"/>
    <x v="147"/>
    <m/>
    <x v="0"/>
  </r>
  <r>
    <x v="1"/>
    <x v="5"/>
    <x v="2"/>
    <s v="March,2018"/>
    <n v="135"/>
    <n v="143.1"/>
    <n v="135.5"/>
    <n v="139.9"/>
    <n v="116.5"/>
    <n v="138.5"/>
    <n v="128"/>
    <n v="115.5"/>
    <n v="114.2"/>
    <n v="140.69999999999999"/>
    <n v="126.2"/>
    <n v="147.6"/>
    <x v="139"/>
    <n v="159.69999999999999"/>
    <n v="136.69999999999999"/>
    <n v="126.7"/>
    <n v="135.19999999999999"/>
    <n v="142"/>
    <x v="134"/>
    <n v="130.80000000000001"/>
    <x v="152"/>
    <n v="117.8"/>
    <n v="126.8"/>
    <n v="137.80000000000001"/>
    <x v="121"/>
    <n v="127.1"/>
    <x v="145"/>
    <m/>
    <x v="0"/>
  </r>
  <r>
    <x v="2"/>
    <x v="5"/>
    <x v="2"/>
    <s v="March,2018"/>
    <n v="136.19999999999999"/>
    <n v="143.6"/>
    <n v="138.30000000000001"/>
    <n v="141.19999999999999"/>
    <n v="120.7"/>
    <n v="146.19999999999999"/>
    <n v="134.6"/>
    <n v="124.6"/>
    <n v="116.1"/>
    <n v="137.80000000000001"/>
    <n v="129.1"/>
    <n v="150.4"/>
    <x v="105"/>
    <n v="156.30000000000001"/>
    <n v="144.30000000000001"/>
    <n v="136.19999999999999"/>
    <n v="143.1"/>
    <n v="142"/>
    <x v="135"/>
    <n v="135.6"/>
    <x v="153"/>
    <n v="121"/>
    <n v="130.4"/>
    <n v="139.80000000000001"/>
    <x v="137"/>
    <n v="130.30000000000001"/>
    <x v="148"/>
    <m/>
    <x v="0"/>
  </r>
  <r>
    <x v="0"/>
    <x v="5"/>
    <x v="3"/>
    <s v="April,2018"/>
    <n v="137.1"/>
    <n v="144.5"/>
    <n v="135.9"/>
    <n v="142.4"/>
    <n v="123.5"/>
    <n v="156.4"/>
    <n v="135.1"/>
    <n v="128.4"/>
    <n v="115.2"/>
    <n v="137.19999999999999"/>
    <n v="131.9"/>
    <n v="153.80000000000001"/>
    <x v="138"/>
    <n v="156.1"/>
    <n v="150.1"/>
    <n v="143.30000000000001"/>
    <n v="149.1"/>
    <s v="NA"/>
    <x v="136"/>
    <n v="140.9"/>
    <x v="154"/>
    <n v="125.3"/>
    <n v="136"/>
    <n v="143.69999999999999"/>
    <x v="138"/>
    <n v="134.19999999999999"/>
    <x v="149"/>
    <m/>
    <x v="0"/>
  </r>
  <r>
    <x v="1"/>
    <x v="5"/>
    <x v="3"/>
    <s v="April,2018"/>
    <n v="135"/>
    <n v="144.30000000000001"/>
    <n v="130.80000000000001"/>
    <n v="140.30000000000001"/>
    <n v="116.6"/>
    <n v="150.1"/>
    <n v="127.6"/>
    <n v="114"/>
    <n v="110.6"/>
    <n v="140.19999999999999"/>
    <n v="126.5"/>
    <n v="148.30000000000001"/>
    <x v="106"/>
    <n v="159.19999999999999"/>
    <n v="137.80000000000001"/>
    <n v="127.4"/>
    <n v="136.19999999999999"/>
    <n v="142.9"/>
    <x v="137"/>
    <n v="131.80000000000001"/>
    <x v="128"/>
    <n v="118.9"/>
    <n v="127.6"/>
    <n v="139.69999999999999"/>
    <x v="139"/>
    <n v="128.19999999999999"/>
    <x v="138"/>
    <m/>
    <x v="0"/>
  </r>
  <r>
    <x v="2"/>
    <x v="5"/>
    <x v="3"/>
    <s v="April,2018"/>
    <n v="136.4"/>
    <n v="144.4"/>
    <n v="133.9"/>
    <n v="141.6"/>
    <n v="121"/>
    <n v="153.5"/>
    <n v="132.6"/>
    <n v="123.5"/>
    <n v="113.7"/>
    <n v="138.19999999999999"/>
    <n v="129.6"/>
    <n v="151.19999999999999"/>
    <x v="140"/>
    <n v="156.9"/>
    <n v="145.30000000000001"/>
    <n v="136.69999999999999"/>
    <n v="144"/>
    <n v="142.9"/>
    <x v="135"/>
    <n v="136.6"/>
    <x v="155"/>
    <n v="121.9"/>
    <n v="131.30000000000001"/>
    <n v="141.4"/>
    <x v="140"/>
    <n v="131.30000000000001"/>
    <x v="150"/>
    <m/>
    <x v="0"/>
  </r>
  <r>
    <x v="0"/>
    <x v="5"/>
    <x v="4"/>
    <s v="May,2018"/>
    <n v="137.4"/>
    <n v="145.69999999999999"/>
    <n v="135.5"/>
    <n v="142.9"/>
    <n v="123.6"/>
    <n v="157.5"/>
    <n v="137.80000000000001"/>
    <n v="127.2"/>
    <n v="111.8"/>
    <n v="137.4"/>
    <n v="132.19999999999999"/>
    <n v="154.30000000000001"/>
    <x v="141"/>
    <n v="157"/>
    <n v="150.80000000000001"/>
    <n v="144.1"/>
    <n v="149.80000000000001"/>
    <s v="NA"/>
    <x v="138"/>
    <n v="141.80000000000001"/>
    <x v="156"/>
    <n v="126.4"/>
    <n v="136.80000000000001"/>
    <n v="144.4"/>
    <x v="141"/>
    <n v="135.1"/>
    <x v="139"/>
    <m/>
    <x v="0"/>
  </r>
  <r>
    <x v="1"/>
    <x v="5"/>
    <x v="4"/>
    <s v="May,2018"/>
    <n v="135"/>
    <n v="148.19999999999999"/>
    <n v="130.5"/>
    <n v="140.69999999999999"/>
    <n v="116.4"/>
    <n v="151.30000000000001"/>
    <n v="131.4"/>
    <n v="112.8"/>
    <n v="105.3"/>
    <n v="139.6"/>
    <n v="126.6"/>
    <n v="148.69999999999999"/>
    <x v="142"/>
    <n v="160.30000000000001"/>
    <n v="138.6"/>
    <n v="127.9"/>
    <n v="137"/>
    <n v="143.19999999999999"/>
    <x v="139"/>
    <n v="132.5"/>
    <x v="157"/>
    <n v="119.8"/>
    <n v="128"/>
    <n v="140.4"/>
    <x v="126"/>
    <n v="128.9"/>
    <x v="132"/>
    <m/>
    <x v="0"/>
  </r>
  <r>
    <x v="2"/>
    <x v="5"/>
    <x v="4"/>
    <s v="May,2018"/>
    <n v="136.6"/>
    <n v="146.6"/>
    <n v="133.6"/>
    <n v="142.1"/>
    <n v="121"/>
    <n v="154.6"/>
    <n v="135.6"/>
    <n v="122.3"/>
    <n v="109.6"/>
    <n v="138.1"/>
    <n v="129.9"/>
    <n v="151.69999999999999"/>
    <x v="143"/>
    <n v="157.9"/>
    <n v="146"/>
    <n v="137.4"/>
    <n v="144.69999999999999"/>
    <n v="143.19999999999999"/>
    <x v="140"/>
    <n v="137.4"/>
    <x v="145"/>
    <n v="122.9"/>
    <n v="131.80000000000001"/>
    <n v="142.1"/>
    <x v="142"/>
    <n v="132.1"/>
    <x v="130"/>
    <m/>
    <x v="0"/>
  </r>
  <r>
    <x v="0"/>
    <x v="5"/>
    <x v="5"/>
    <s v="June,2018"/>
    <n v="137.6"/>
    <n v="148.1"/>
    <n v="136.69999999999999"/>
    <n v="143.19999999999999"/>
    <n v="124"/>
    <n v="154.1"/>
    <n v="143.5"/>
    <n v="126"/>
    <n v="112.4"/>
    <n v="137.6"/>
    <n v="132.80000000000001"/>
    <n v="154.30000000000001"/>
    <x v="144"/>
    <n v="157.30000000000001"/>
    <n v="151.30000000000001"/>
    <n v="144.69999999999999"/>
    <n v="150.30000000000001"/>
    <s v="NA"/>
    <x v="141"/>
    <n v="142.19999999999999"/>
    <x v="156"/>
    <n v="127.4"/>
    <n v="137.80000000000001"/>
    <n v="145.1"/>
    <x v="143"/>
    <n v="135.6"/>
    <x v="151"/>
    <m/>
    <x v="0"/>
  </r>
  <r>
    <x v="1"/>
    <x v="5"/>
    <x v="5"/>
    <s v="June,2018"/>
    <n v="135.30000000000001"/>
    <n v="149.69999999999999"/>
    <n v="133.9"/>
    <n v="140.80000000000001"/>
    <n v="116.6"/>
    <n v="152.19999999999999"/>
    <n v="144"/>
    <n v="112.3"/>
    <n v="108.4"/>
    <n v="140"/>
    <n v="126.7"/>
    <n v="149"/>
    <x v="102"/>
    <n v="161"/>
    <n v="138.9"/>
    <n v="128.69999999999999"/>
    <n v="137.4"/>
    <n v="142.5"/>
    <x v="142"/>
    <n v="133.1"/>
    <x v="141"/>
    <n v="120.4"/>
    <n v="128.5"/>
    <n v="141.19999999999999"/>
    <x v="137"/>
    <n v="129.5"/>
    <x v="127"/>
    <m/>
    <x v="0"/>
  </r>
  <r>
    <x v="2"/>
    <x v="5"/>
    <x v="5"/>
    <s v="June,2018"/>
    <n v="136.9"/>
    <n v="148.69999999999999"/>
    <n v="135.6"/>
    <n v="142.30000000000001"/>
    <n v="121.3"/>
    <n v="153.19999999999999"/>
    <n v="143.69999999999999"/>
    <n v="121.4"/>
    <n v="111.1"/>
    <n v="138.4"/>
    <n v="130.30000000000001"/>
    <n v="151.80000000000001"/>
    <x v="145"/>
    <n v="158.30000000000001"/>
    <n v="146.4"/>
    <n v="138.1"/>
    <n v="145.19999999999999"/>
    <n v="142.5"/>
    <x v="125"/>
    <n v="137.9"/>
    <x v="148"/>
    <n v="123.7"/>
    <n v="132.6"/>
    <n v="142.80000000000001"/>
    <x v="144"/>
    <n v="132.6"/>
    <x v="144"/>
    <m/>
    <x v="0"/>
  </r>
  <r>
    <x v="0"/>
    <x v="5"/>
    <x v="6"/>
    <s v="July,2018"/>
    <n v="138.4"/>
    <n v="149.30000000000001"/>
    <n v="139.30000000000001"/>
    <n v="143.4"/>
    <n v="124.1"/>
    <n v="153.30000000000001"/>
    <n v="154.19999999999999"/>
    <n v="126.4"/>
    <n v="114.3"/>
    <n v="138.19999999999999"/>
    <n v="132.80000000000001"/>
    <n v="154.80000000000001"/>
    <x v="146"/>
    <n v="156.1"/>
    <n v="151.5"/>
    <n v="145.1"/>
    <n v="150.6"/>
    <s v="NA"/>
    <x v="143"/>
    <n v="143.1"/>
    <x v="158"/>
    <n v="127.5"/>
    <n v="138.4"/>
    <n v="145.80000000000001"/>
    <x v="143"/>
    <n v="136"/>
    <x v="152"/>
    <m/>
    <x v="0"/>
  </r>
  <r>
    <x v="1"/>
    <x v="5"/>
    <x v="6"/>
    <s v="July,2018"/>
    <n v="135.6"/>
    <n v="148.6"/>
    <n v="139.1"/>
    <n v="141"/>
    <n v="116.7"/>
    <n v="149.69999999999999"/>
    <n v="159.19999999999999"/>
    <n v="112.6"/>
    <n v="111.8"/>
    <n v="140.30000000000001"/>
    <n v="126.8"/>
    <n v="149.4"/>
    <x v="147"/>
    <n v="161.4"/>
    <n v="139.6"/>
    <n v="128.9"/>
    <n v="137.9"/>
    <n v="143.6"/>
    <x v="144"/>
    <n v="133.6"/>
    <x v="159"/>
    <n v="120.1"/>
    <n v="129"/>
    <n v="144"/>
    <x v="137"/>
    <n v="130.19999999999999"/>
    <x v="153"/>
    <m/>
    <x v="0"/>
  </r>
  <r>
    <x v="2"/>
    <x v="5"/>
    <x v="6"/>
    <s v="July,2018"/>
    <n v="137.5"/>
    <n v="149.1"/>
    <n v="139.19999999999999"/>
    <n v="142.5"/>
    <n v="121.4"/>
    <n v="151.6"/>
    <n v="155.9"/>
    <n v="121.7"/>
    <n v="113.5"/>
    <n v="138.9"/>
    <n v="130.30000000000001"/>
    <n v="152.30000000000001"/>
    <x v="148"/>
    <n v="157.5"/>
    <n v="146.80000000000001"/>
    <n v="138.4"/>
    <n v="145.6"/>
    <n v="143.6"/>
    <x v="145"/>
    <n v="138.6"/>
    <x v="160"/>
    <n v="123.6"/>
    <n v="133.1"/>
    <n v="144.69999999999999"/>
    <x v="144"/>
    <n v="133.19999999999999"/>
    <x v="139"/>
    <m/>
    <x v="0"/>
  </r>
  <r>
    <x v="0"/>
    <x v="5"/>
    <x v="7"/>
    <s v="August,2018"/>
    <n v="139.19999999999999"/>
    <n v="148.80000000000001"/>
    <n v="139.1"/>
    <n v="143.5"/>
    <n v="125"/>
    <n v="154.4"/>
    <n v="156.30000000000001"/>
    <n v="126.8"/>
    <n v="115.4"/>
    <n v="138.6"/>
    <n v="133.80000000000001"/>
    <n v="155.19999999999999"/>
    <x v="149"/>
    <n v="156.4"/>
    <n v="152.1"/>
    <n v="145.80000000000001"/>
    <n v="151.30000000000001"/>
    <s v="NA"/>
    <x v="146"/>
    <n v="143.80000000000001"/>
    <x v="161"/>
    <n v="128.30000000000001"/>
    <n v="138.6"/>
    <n v="146.9"/>
    <x v="145"/>
    <n v="136.6"/>
    <x v="154"/>
    <m/>
    <x v="0"/>
  </r>
  <r>
    <x v="1"/>
    <x v="5"/>
    <x v="7"/>
    <s v="August,2018"/>
    <n v="136.5"/>
    <n v="146.4"/>
    <n v="136.6"/>
    <n v="141.19999999999999"/>
    <n v="117.4"/>
    <n v="146.30000000000001"/>
    <n v="157.30000000000001"/>
    <n v="113.6"/>
    <n v="113.3"/>
    <n v="141.1"/>
    <n v="127.4"/>
    <n v="150.4"/>
    <x v="130"/>
    <n v="162.1"/>
    <n v="140"/>
    <n v="129"/>
    <n v="138.30000000000001"/>
    <n v="144.6"/>
    <x v="98"/>
    <n v="134.4"/>
    <x v="162"/>
    <n v="120.7"/>
    <n v="129.80000000000001"/>
    <n v="145.30000000000001"/>
    <x v="146"/>
    <n v="131"/>
    <x v="155"/>
    <m/>
    <x v="0"/>
  </r>
  <r>
    <x v="2"/>
    <x v="5"/>
    <x v="7"/>
    <s v="August,2018"/>
    <n v="138.30000000000001"/>
    <n v="148"/>
    <n v="138.1"/>
    <n v="142.6"/>
    <n v="122.2"/>
    <n v="150.6"/>
    <n v="156.6"/>
    <n v="122.4"/>
    <n v="114.7"/>
    <n v="139.4"/>
    <n v="131.1"/>
    <n v="153"/>
    <x v="150"/>
    <n v="157.9"/>
    <n v="147.30000000000001"/>
    <n v="138.80000000000001"/>
    <n v="146.1"/>
    <n v="144.6"/>
    <x v="147"/>
    <n v="139.4"/>
    <x v="163"/>
    <n v="124.3"/>
    <n v="133.6"/>
    <n v="146"/>
    <x v="144"/>
    <n v="133.9"/>
    <x v="156"/>
    <m/>
    <x v="0"/>
  </r>
  <r>
    <x v="0"/>
    <x v="5"/>
    <x v="8"/>
    <s v="September,2018"/>
    <n v="139.4"/>
    <n v="147.19999999999999"/>
    <n v="136.6"/>
    <n v="143.69999999999999"/>
    <n v="124.6"/>
    <n v="150.1"/>
    <n v="149.4"/>
    <n v="125.4"/>
    <n v="114.4"/>
    <n v="138.69999999999999"/>
    <n v="133.1"/>
    <n v="155.9"/>
    <x v="151"/>
    <n v="157.69999999999999"/>
    <n v="152.1"/>
    <n v="146.1"/>
    <n v="151.30000000000001"/>
    <s v="NA"/>
    <x v="148"/>
    <n v="144"/>
    <x v="164"/>
    <n v="129.9"/>
    <n v="140"/>
    <n v="147.6"/>
    <x v="147"/>
    <n v="137.4"/>
    <x v="157"/>
    <m/>
    <x v="0"/>
  </r>
  <r>
    <x v="1"/>
    <x v="5"/>
    <x v="8"/>
    <s v="September,2018"/>
    <n v="137"/>
    <n v="143.1"/>
    <n v="132.80000000000001"/>
    <n v="141.5"/>
    <n v="117.8"/>
    <n v="140"/>
    <n v="151.30000000000001"/>
    <n v="113.5"/>
    <n v="112.3"/>
    <n v="141.19999999999999"/>
    <n v="127.7"/>
    <n v="151.30000000000001"/>
    <x v="152"/>
    <n v="163.30000000000001"/>
    <n v="140.80000000000001"/>
    <n v="129.30000000000001"/>
    <n v="139.1"/>
    <n v="145.30000000000001"/>
    <x v="149"/>
    <n v="134.9"/>
    <x v="165"/>
    <n v="122.5"/>
    <n v="130.19999999999999"/>
    <n v="145.19999999999999"/>
    <x v="136"/>
    <n v="131.9"/>
    <x v="158"/>
    <m/>
    <x v="0"/>
  </r>
  <r>
    <x v="2"/>
    <x v="5"/>
    <x v="8"/>
    <s v="September,2018"/>
    <n v="138.6"/>
    <n v="145.80000000000001"/>
    <n v="135.1"/>
    <n v="142.9"/>
    <n v="122.1"/>
    <n v="145.4"/>
    <n v="150"/>
    <n v="121.4"/>
    <n v="113.7"/>
    <n v="139.5"/>
    <n v="130.80000000000001"/>
    <n v="153.80000000000001"/>
    <x v="128"/>
    <n v="159.19999999999999"/>
    <n v="147.69999999999999"/>
    <n v="139.1"/>
    <n v="146.5"/>
    <n v="145.30000000000001"/>
    <x v="130"/>
    <n v="139.69999999999999"/>
    <x v="156"/>
    <n v="126"/>
    <n v="134.5"/>
    <n v="146.19999999999999"/>
    <x v="148"/>
    <n v="134.69999999999999"/>
    <x v="159"/>
    <m/>
    <x v="0"/>
  </r>
  <r>
    <x v="0"/>
    <x v="5"/>
    <x v="9"/>
    <s v="October,2018"/>
    <n v="139.30000000000001"/>
    <n v="147.6"/>
    <n v="134.6"/>
    <n v="141.9"/>
    <n v="123.5"/>
    <n v="144.5"/>
    <n v="147.6"/>
    <n v="121.4"/>
    <n v="112.3"/>
    <n v="139.5"/>
    <n v="134.6"/>
    <n v="155.19999999999999"/>
    <x v="153"/>
    <n v="159.6"/>
    <n v="150.69999999999999"/>
    <n v="144.5"/>
    <n v="149.80000000000001"/>
    <s v="NA"/>
    <x v="150"/>
    <n v="147.5"/>
    <x v="166"/>
    <n v="130.80000000000001"/>
    <n v="140.1"/>
    <n v="148"/>
    <x v="149"/>
    <n v="139.80000000000001"/>
    <x v="160"/>
    <m/>
    <x v="0"/>
  </r>
  <r>
    <x v="1"/>
    <x v="5"/>
    <x v="9"/>
    <s v="October,2018"/>
    <n v="137.6"/>
    <n v="144.9"/>
    <n v="133.5"/>
    <n v="141.5"/>
    <n v="118"/>
    <n v="139.5"/>
    <n v="153"/>
    <n v="113.2"/>
    <n v="112.8"/>
    <n v="141.1"/>
    <n v="127.6"/>
    <n v="152"/>
    <x v="145"/>
    <n v="164"/>
    <n v="141.5"/>
    <n v="129.80000000000001"/>
    <n v="139.69999999999999"/>
    <n v="146.30000000000001"/>
    <x v="151"/>
    <n v="135.1"/>
    <x v="148"/>
    <n v="123.3"/>
    <n v="130.69999999999999"/>
    <n v="145.5"/>
    <x v="138"/>
    <n v="132.5"/>
    <x v="161"/>
    <m/>
    <x v="0"/>
  </r>
  <r>
    <x v="2"/>
    <x v="5"/>
    <x v="9"/>
    <s v="October,2018"/>
    <n v="137.4"/>
    <n v="149.5"/>
    <n v="137.30000000000001"/>
    <n v="141.9"/>
    <n v="121.1"/>
    <n v="142.5"/>
    <n v="146.69999999999999"/>
    <n v="119.1"/>
    <n v="111.9"/>
    <n v="141"/>
    <n v="133.6"/>
    <n v="154.5"/>
    <x v="129"/>
    <n v="162.6"/>
    <n v="148"/>
    <n v="139.19999999999999"/>
    <n v="146.80000000000001"/>
    <n v="146.9"/>
    <x v="152"/>
    <n v="142.19999999999999"/>
    <x v="167"/>
    <n v="125.5"/>
    <n v="136.5"/>
    <n v="147.80000000000001"/>
    <x v="147"/>
    <n v="136.30000000000001"/>
    <x v="162"/>
    <m/>
    <x v="0"/>
  </r>
  <r>
    <x v="0"/>
    <x v="5"/>
    <x v="11"/>
    <s v="November,2018"/>
    <n v="137.1"/>
    <n v="150.80000000000001"/>
    <n v="136.69999999999999"/>
    <n v="141.9"/>
    <n v="122.8"/>
    <n v="143.9"/>
    <n v="147.5"/>
    <n v="121"/>
    <n v="111.6"/>
    <n v="140.6"/>
    <n v="137.5"/>
    <n v="156.1"/>
    <x v="144"/>
    <n v="161.9"/>
    <n v="151.69999999999999"/>
    <n v="145.5"/>
    <n v="150.80000000000001"/>
    <s v="NA"/>
    <x v="153"/>
    <n v="148"/>
    <x v="168"/>
    <n v="130.30000000000001"/>
    <n v="143.1"/>
    <n v="150.19999999999999"/>
    <x v="150"/>
    <n v="140.1"/>
    <x v="163"/>
    <m/>
    <x v="0"/>
  </r>
  <r>
    <x v="1"/>
    <x v="5"/>
    <x v="11"/>
    <s v="November,2018"/>
    <n v="138.1"/>
    <n v="146.30000000000001"/>
    <n v="137.80000000000001"/>
    <n v="141.6"/>
    <n v="118.1"/>
    <n v="141.5"/>
    <n v="145.19999999999999"/>
    <n v="115.3"/>
    <n v="112.5"/>
    <n v="141.4"/>
    <n v="128"/>
    <n v="152.6"/>
    <x v="141"/>
    <n v="164.4"/>
    <n v="142.4"/>
    <n v="130.19999999999999"/>
    <n v="140.5"/>
    <n v="146.9"/>
    <x v="133"/>
    <n v="135.80000000000001"/>
    <x v="169"/>
    <n v="121.2"/>
    <n v="131.30000000000001"/>
    <n v="146.1"/>
    <x v="151"/>
    <n v="132.19999999999999"/>
    <x v="164"/>
    <m/>
    <x v="0"/>
  </r>
  <r>
    <x v="2"/>
    <x v="5"/>
    <x v="11"/>
    <s v="November,2018"/>
    <n v="137.4"/>
    <n v="149.19999999999999"/>
    <n v="137.1"/>
    <n v="141.80000000000001"/>
    <n v="121.1"/>
    <n v="142.80000000000001"/>
    <n v="146.69999999999999"/>
    <n v="119.1"/>
    <n v="111.9"/>
    <n v="140.9"/>
    <n v="133.5"/>
    <n v="154.5"/>
    <x v="129"/>
    <n v="162.6"/>
    <n v="148"/>
    <n v="139.1"/>
    <n v="146.69999999999999"/>
    <n v="146.9"/>
    <x v="141"/>
    <n v="142.19999999999999"/>
    <x v="167"/>
    <n v="125.5"/>
    <n v="136.5"/>
    <n v="147.80000000000001"/>
    <x v="147"/>
    <n v="136.30000000000001"/>
    <x v="162"/>
    <m/>
    <x v="0"/>
  </r>
  <r>
    <x v="0"/>
    <x v="5"/>
    <x v="12"/>
    <s v="December,2018"/>
    <n v="137.1"/>
    <n v="151.9"/>
    <n v="137.4"/>
    <n v="142.4"/>
    <n v="124.2"/>
    <n v="140.19999999999999"/>
    <n v="136.6"/>
    <n v="120.9"/>
    <n v="109.9"/>
    <n v="140.19999999999999"/>
    <n v="137.80000000000001"/>
    <n v="156"/>
    <x v="123"/>
    <n v="162.4"/>
    <n v="151.6"/>
    <n v="145.9"/>
    <n v="150.80000000000001"/>
    <s v="NA"/>
    <x v="148"/>
    <n v="149.5"/>
    <x v="170"/>
    <n v="128.9"/>
    <n v="143.30000000000001"/>
    <n v="155.1"/>
    <x v="152"/>
    <n v="141.6"/>
    <x v="165"/>
    <m/>
    <x v="0"/>
  </r>
  <r>
    <x v="1"/>
    <x v="5"/>
    <x v="12"/>
    <s v="December,2018"/>
    <n v="138.5"/>
    <n v="147.80000000000001"/>
    <n v="141.1"/>
    <n v="141.6"/>
    <n v="118.1"/>
    <n v="138.5"/>
    <n v="132.4"/>
    <n v="117.5"/>
    <n v="111"/>
    <n v="141.5"/>
    <n v="128.1"/>
    <n v="152.9"/>
    <x v="100"/>
    <n v="164.6"/>
    <n v="142.69999999999999"/>
    <n v="130.30000000000001"/>
    <n v="140.80000000000001"/>
    <n v="146.5"/>
    <x v="154"/>
    <n v="136.19999999999999"/>
    <x v="171"/>
    <n v="118.8"/>
    <n v="131.69999999999999"/>
    <n v="146.5"/>
    <x v="153"/>
    <n v="131.69999999999999"/>
    <x v="155"/>
    <m/>
    <x v="0"/>
  </r>
  <r>
    <x v="2"/>
    <x v="5"/>
    <x v="12"/>
    <s v="December,2018"/>
    <n v="137.5"/>
    <n v="150.5"/>
    <n v="138.80000000000001"/>
    <n v="142.1"/>
    <n v="122"/>
    <n v="139.4"/>
    <n v="135.19999999999999"/>
    <n v="119.8"/>
    <n v="110.3"/>
    <n v="140.6"/>
    <n v="133.80000000000001"/>
    <n v="154.6"/>
    <x v="98"/>
    <n v="163"/>
    <n v="148.1"/>
    <n v="139.4"/>
    <n v="146.80000000000001"/>
    <n v="146.5"/>
    <x v="155"/>
    <n v="143.19999999999999"/>
    <x v="172"/>
    <n v="123.6"/>
    <n v="136.80000000000001"/>
    <n v="150.1"/>
    <x v="154"/>
    <n v="136.80000000000001"/>
    <x v="166"/>
    <m/>
    <x v="0"/>
  </r>
  <r>
    <x v="0"/>
    <x v="6"/>
    <x v="0"/>
    <s v="January,2019"/>
    <n v="136.6"/>
    <n v="152.5"/>
    <n v="138.19999999999999"/>
    <n v="142.4"/>
    <n v="123.9"/>
    <n v="135.5"/>
    <n v="131.69999999999999"/>
    <n v="121.3"/>
    <n v="108.4"/>
    <n v="138.9"/>
    <n v="137"/>
    <n v="155.80000000000001"/>
    <x v="108"/>
    <n v="162.69999999999999"/>
    <n v="150.6"/>
    <n v="145.1"/>
    <n v="149.9"/>
    <s v="NA"/>
    <x v="156"/>
    <n v="150.1"/>
    <x v="170"/>
    <n v="128.6"/>
    <n v="142.9"/>
    <n v="155.19999999999999"/>
    <x v="155"/>
    <n v="141.69999999999999"/>
    <x v="167"/>
    <m/>
    <x v="0"/>
  </r>
  <r>
    <x v="1"/>
    <x v="6"/>
    <x v="0"/>
    <s v="January,2019"/>
    <n v="138.30000000000001"/>
    <n v="149.4"/>
    <n v="143.5"/>
    <n v="141.69999999999999"/>
    <n v="118.1"/>
    <n v="135.19999999999999"/>
    <n v="130.5"/>
    <n v="118.2"/>
    <n v="110.4"/>
    <n v="140.4"/>
    <n v="128.1"/>
    <n v="153.19999999999999"/>
    <x v="154"/>
    <n v="164.7"/>
    <n v="143"/>
    <n v="130.4"/>
    <n v="141.1"/>
    <n v="147.69999999999999"/>
    <x v="157"/>
    <n v="136.30000000000001"/>
    <x v="173"/>
    <n v="118.6"/>
    <n v="131.9"/>
    <n v="146.6"/>
    <x v="156"/>
    <n v="131.80000000000001"/>
    <x v="155"/>
    <m/>
    <x v="0"/>
  </r>
  <r>
    <x v="2"/>
    <x v="6"/>
    <x v="0"/>
    <s v="January,2019"/>
    <n v="137.1"/>
    <n v="151.4"/>
    <n v="140.19999999999999"/>
    <n v="142.1"/>
    <n v="121.8"/>
    <n v="135.4"/>
    <n v="131.30000000000001"/>
    <n v="120.3"/>
    <n v="109.1"/>
    <n v="139.4"/>
    <n v="133.30000000000001"/>
    <n v="154.6"/>
    <x v="108"/>
    <n v="163.19999999999999"/>
    <n v="147.6"/>
    <n v="139"/>
    <n v="146.4"/>
    <n v="147.69999999999999"/>
    <x v="158"/>
    <n v="143.6"/>
    <x v="174"/>
    <n v="123.3"/>
    <n v="136.69999999999999"/>
    <n v="150.19999999999999"/>
    <x v="157"/>
    <n v="136.9"/>
    <x v="168"/>
    <m/>
    <x v="0"/>
  </r>
  <r>
    <x v="0"/>
    <x v="6"/>
    <x v="1"/>
    <s v="February,2019"/>
    <n v="136.80000000000001"/>
    <n v="153"/>
    <n v="139.1"/>
    <n v="142.5"/>
    <n v="124.1"/>
    <n v="135.80000000000001"/>
    <n v="128.69999999999999"/>
    <n v="121.5"/>
    <n v="108.3"/>
    <n v="139.19999999999999"/>
    <n v="137.4"/>
    <n v="156.19999999999999"/>
    <x v="105"/>
    <n v="162.80000000000001"/>
    <n v="150.5"/>
    <n v="146.1"/>
    <n v="149.9"/>
    <s v="NA"/>
    <x v="152"/>
    <n v="150.1"/>
    <x v="175"/>
    <n v="129.19999999999999"/>
    <n v="143.4"/>
    <n v="155.5"/>
    <x v="158"/>
    <n v="142.19999999999999"/>
    <x v="167"/>
    <m/>
    <x v="0"/>
  </r>
  <r>
    <x v="1"/>
    <x v="6"/>
    <x v="1"/>
    <s v="February,2019"/>
    <n v="139.4"/>
    <n v="150.1"/>
    <n v="145.30000000000001"/>
    <n v="141.69999999999999"/>
    <n v="118.4"/>
    <n v="137"/>
    <n v="131.6"/>
    <n v="119.9"/>
    <n v="110.4"/>
    <n v="140.80000000000001"/>
    <n v="128.30000000000001"/>
    <n v="153.5"/>
    <x v="103"/>
    <n v="164.9"/>
    <n v="143.30000000000001"/>
    <n v="130.80000000000001"/>
    <n v="141.4"/>
    <n v="148.5"/>
    <x v="159"/>
    <n v="136.6"/>
    <x v="176"/>
    <n v="119.2"/>
    <n v="132.19999999999999"/>
    <n v="146.6"/>
    <x v="159"/>
    <n v="132.4"/>
    <x v="169"/>
    <m/>
    <x v="0"/>
  </r>
  <r>
    <x v="2"/>
    <x v="6"/>
    <x v="1"/>
    <s v="February,2019"/>
    <n v="137.6"/>
    <n v="152"/>
    <n v="141.5"/>
    <n v="142.19999999999999"/>
    <n v="122"/>
    <n v="136.4"/>
    <n v="129.69999999999999"/>
    <n v="121"/>
    <n v="109"/>
    <n v="139.69999999999999"/>
    <n v="133.6"/>
    <n v="154.9"/>
    <x v="140"/>
    <n v="163.4"/>
    <n v="147.69999999999999"/>
    <n v="139.69999999999999"/>
    <n v="146.5"/>
    <n v="148.5"/>
    <x v="160"/>
    <n v="143.69999999999999"/>
    <x v="177"/>
    <n v="123.9"/>
    <n v="137.1"/>
    <n v="150.30000000000001"/>
    <x v="160"/>
    <n v="137.4"/>
    <x v="170"/>
    <m/>
    <x v="0"/>
  </r>
  <r>
    <x v="0"/>
    <x v="6"/>
    <x v="2"/>
    <s v="March,2019"/>
    <n v="136.9"/>
    <n v="154.1"/>
    <n v="138.69999999999999"/>
    <n v="142.5"/>
    <n v="124.1"/>
    <n v="136.1"/>
    <n v="128.19999999999999"/>
    <n v="122.3"/>
    <n v="108.3"/>
    <n v="138.9"/>
    <n v="137.4"/>
    <n v="156.4"/>
    <x v="154"/>
    <n v="162.9"/>
    <n v="150.80000000000001"/>
    <n v="146.1"/>
    <n v="150.1"/>
    <s v="NA"/>
    <x v="161"/>
    <n v="150"/>
    <x v="178"/>
    <n v="129.9"/>
    <n v="143.80000000000001"/>
    <n v="155.5"/>
    <x v="161"/>
    <n v="142.4"/>
    <x v="171"/>
    <m/>
    <x v="0"/>
  </r>
  <r>
    <x v="1"/>
    <x v="6"/>
    <x v="2"/>
    <s v="March,2019"/>
    <n v="139.69999999999999"/>
    <n v="151.1"/>
    <n v="142.9"/>
    <n v="141.9"/>
    <n v="118.4"/>
    <n v="139.4"/>
    <n v="141.19999999999999"/>
    <n v="120.7"/>
    <n v="110.4"/>
    <n v="140.69999999999999"/>
    <n v="128.5"/>
    <n v="153.9"/>
    <x v="127"/>
    <n v="165.3"/>
    <n v="143.5"/>
    <n v="131.19999999999999"/>
    <n v="141.6"/>
    <n v="149"/>
    <x v="118"/>
    <n v="136.80000000000001"/>
    <x v="179"/>
    <n v="119.9"/>
    <n v="133"/>
    <n v="146.69999999999999"/>
    <x v="162"/>
    <n v="132.80000000000001"/>
    <x v="172"/>
    <m/>
    <x v="0"/>
  </r>
  <r>
    <x v="2"/>
    <x v="6"/>
    <x v="2"/>
    <s v="March,2019"/>
    <n v="137.80000000000001"/>
    <n v="153"/>
    <n v="140.30000000000001"/>
    <n v="142.30000000000001"/>
    <n v="122"/>
    <n v="137.6"/>
    <n v="132.6"/>
    <n v="121.8"/>
    <n v="109"/>
    <n v="139.5"/>
    <n v="133.69999999999999"/>
    <n v="155.19999999999999"/>
    <x v="143"/>
    <n v="163.5"/>
    <n v="147.9"/>
    <n v="139.9"/>
    <n v="146.69999999999999"/>
    <n v="149"/>
    <x v="145"/>
    <n v="143.80000000000001"/>
    <x v="180"/>
    <n v="124.6"/>
    <n v="137.69999999999999"/>
    <n v="150.30000000000001"/>
    <x v="163"/>
    <n v="137.69999999999999"/>
    <x v="156"/>
    <m/>
    <x v="0"/>
  </r>
  <r>
    <x v="2"/>
    <x v="6"/>
    <x v="3"/>
    <s v="April,2019"/>
    <n v="138"/>
    <n v="155.69999999999999"/>
    <n v="138.1"/>
    <n v="142.4"/>
    <n v="122"/>
    <n v="137.80000000000001"/>
    <n v="137.6"/>
    <n v="123.3"/>
    <n v="109.4"/>
    <n v="139.69999999999999"/>
    <n v="133.80000000000001"/>
    <n v="155.30000000000001"/>
    <x v="145"/>
    <n v="163.80000000000001"/>
    <n v="148.1"/>
    <n v="140.1"/>
    <n v="147"/>
    <n v="149.5"/>
    <x v="162"/>
    <n v="143.69999999999999"/>
    <x v="181"/>
    <n v="124.7"/>
    <n v="138.4"/>
    <n v="150.9"/>
    <x v="163"/>
    <n v="137.9"/>
    <x v="171"/>
    <m/>
    <x v="0"/>
  </r>
  <r>
    <x v="0"/>
    <x v="6"/>
    <x v="4"/>
    <s v="May,2019"/>
    <n v="137.4"/>
    <n v="159.5"/>
    <n v="134.5"/>
    <n v="142.6"/>
    <n v="124"/>
    <n v="143.69999999999999"/>
    <n v="133.4"/>
    <n v="125.1"/>
    <n v="109.3"/>
    <n v="139.30000000000001"/>
    <n v="137.69999999999999"/>
    <n v="156.4"/>
    <x v="135"/>
    <n v="163.30000000000001"/>
    <n v="151.30000000000001"/>
    <n v="146.6"/>
    <n v="150.69999999999999"/>
    <s v="NA"/>
    <x v="163"/>
    <n v="149.5"/>
    <x v="182"/>
    <n v="130.19999999999999"/>
    <n v="145.9"/>
    <n v="156.69999999999999"/>
    <x v="164"/>
    <n v="142.9"/>
    <x v="163"/>
    <m/>
    <x v="0"/>
  </r>
  <r>
    <x v="1"/>
    <x v="6"/>
    <x v="4"/>
    <s v="May,2019"/>
    <n v="140.4"/>
    <n v="156.69999999999999"/>
    <n v="138.30000000000001"/>
    <n v="142.4"/>
    <n v="118.6"/>
    <n v="149.69999999999999"/>
    <n v="161.6"/>
    <n v="124.4"/>
    <n v="111.2"/>
    <n v="141"/>
    <n v="128.9"/>
    <n v="154.5"/>
    <x v="155"/>
    <n v="166.2"/>
    <n v="144"/>
    <n v="131.69999999999999"/>
    <n v="142.19999999999999"/>
    <n v="150.1"/>
    <x v="115"/>
    <n v="137.19999999999999"/>
    <x v="183"/>
    <n v="120.1"/>
    <n v="134"/>
    <n v="148"/>
    <x v="165"/>
    <n v="133.30000000000001"/>
    <x v="173"/>
    <m/>
    <x v="0"/>
  </r>
  <r>
    <x v="2"/>
    <x v="6"/>
    <x v="4"/>
    <s v="May,2019"/>
    <n v="138.30000000000001"/>
    <n v="158.5"/>
    <n v="136"/>
    <n v="142.5"/>
    <n v="122"/>
    <n v="146.5"/>
    <n v="143"/>
    <n v="124.9"/>
    <n v="109.9"/>
    <n v="139.9"/>
    <n v="134"/>
    <n v="155.5"/>
    <x v="156"/>
    <n v="164.1"/>
    <n v="148.4"/>
    <n v="140.4"/>
    <n v="147.30000000000001"/>
    <n v="150.1"/>
    <x v="164"/>
    <n v="143.69999999999999"/>
    <x v="184"/>
    <n v="124.9"/>
    <n v="139.19999999999999"/>
    <n v="151.6"/>
    <x v="163"/>
    <n v="138.19999999999999"/>
    <x v="174"/>
    <m/>
    <x v="0"/>
  </r>
  <r>
    <x v="0"/>
    <x v="6"/>
    <x v="5"/>
    <s v="June,2019"/>
    <n v="137.80000000000001"/>
    <n v="163.5"/>
    <n v="136.19999999999999"/>
    <n v="143.19999999999999"/>
    <n v="124.3"/>
    <n v="143.30000000000001"/>
    <n v="140.6"/>
    <n v="128.69999999999999"/>
    <n v="110.6"/>
    <n v="140.4"/>
    <n v="138"/>
    <n v="156.6"/>
    <x v="157"/>
    <n v="164.2"/>
    <n v="151.4"/>
    <n v="146.5"/>
    <n v="150.69999999999999"/>
    <s v="NA"/>
    <x v="165"/>
    <n v="149.6"/>
    <x v="185"/>
    <n v="130.19999999999999"/>
    <n v="146.4"/>
    <n v="157.69999999999999"/>
    <x v="166"/>
    <n v="143.30000000000001"/>
    <x v="175"/>
    <m/>
    <x v="0"/>
  </r>
  <r>
    <x v="1"/>
    <x v="6"/>
    <x v="5"/>
    <s v="June,2019"/>
    <n v="140.69999999999999"/>
    <n v="159.6"/>
    <n v="140.4"/>
    <n v="143.4"/>
    <n v="118.6"/>
    <n v="150.9"/>
    <n v="169.8"/>
    <n v="127.4"/>
    <n v="111.8"/>
    <n v="141"/>
    <n v="129"/>
    <n v="155.1"/>
    <x v="158"/>
    <n v="166.7"/>
    <n v="144.30000000000001"/>
    <n v="131.69999999999999"/>
    <n v="142.4"/>
    <n v="149.4"/>
    <x v="166"/>
    <n v="137.4"/>
    <x v="186"/>
    <n v="119.6"/>
    <n v="134.30000000000001"/>
    <n v="148.9"/>
    <x v="167"/>
    <n v="133.6"/>
    <x v="157"/>
    <m/>
    <x v="0"/>
  </r>
  <r>
    <x v="2"/>
    <x v="6"/>
    <x v="5"/>
    <s v="June,2019"/>
    <n v="138.69999999999999"/>
    <n v="162.1"/>
    <n v="137.80000000000001"/>
    <n v="143.30000000000001"/>
    <n v="122.2"/>
    <n v="146.80000000000001"/>
    <n v="150.5"/>
    <n v="128.30000000000001"/>
    <n v="111"/>
    <n v="140.6"/>
    <n v="134.19999999999999"/>
    <n v="155.9"/>
    <x v="149"/>
    <n v="164.9"/>
    <n v="148.6"/>
    <n v="140.4"/>
    <n v="147.4"/>
    <n v="149.4"/>
    <x v="167"/>
    <n v="143.80000000000001"/>
    <x v="187"/>
    <n v="124.6"/>
    <n v="139.6"/>
    <n v="152.5"/>
    <x v="168"/>
    <n v="138.6"/>
    <x v="176"/>
    <m/>
    <x v="0"/>
  </r>
  <r>
    <x v="0"/>
    <x v="6"/>
    <x v="6"/>
    <s v="July,2019"/>
    <n v="138.4"/>
    <n v="164"/>
    <n v="138.4"/>
    <n v="143.9"/>
    <n v="124.4"/>
    <n v="146.4"/>
    <n v="150.1"/>
    <n v="130.6"/>
    <n v="110.8"/>
    <n v="141.69999999999999"/>
    <n v="138.5"/>
    <n v="156.69999999999999"/>
    <x v="159"/>
    <n v="164.5"/>
    <n v="151.6"/>
    <n v="146.6"/>
    <n v="150.9"/>
    <s v="NA"/>
    <x v="143"/>
    <n v="150"/>
    <x v="188"/>
    <n v="131.19999999999999"/>
    <n v="147.5"/>
    <n v="159.1"/>
    <x v="169"/>
    <n v="144.19999999999999"/>
    <x v="177"/>
    <m/>
    <x v="0"/>
  </r>
  <r>
    <x v="1"/>
    <x v="6"/>
    <x v="6"/>
    <s v="July,2019"/>
    <n v="141.4"/>
    <n v="160.19999999999999"/>
    <n v="142.5"/>
    <n v="144.1"/>
    <n v="119.3"/>
    <n v="154.69999999999999"/>
    <n v="180.1"/>
    <n v="128.9"/>
    <n v="111.8"/>
    <n v="141.6"/>
    <n v="129.5"/>
    <n v="155.6"/>
    <x v="160"/>
    <n v="167.2"/>
    <n v="144.69999999999999"/>
    <n v="131.9"/>
    <n v="142.69999999999999"/>
    <n v="150.6"/>
    <x v="83"/>
    <n v="137.69999999999999"/>
    <x v="189"/>
    <n v="120.6"/>
    <n v="135"/>
    <n v="150.4"/>
    <x v="170"/>
    <n v="134.5"/>
    <x v="178"/>
    <m/>
    <x v="0"/>
  </r>
  <r>
    <x v="2"/>
    <x v="6"/>
    <x v="6"/>
    <s v="July,2019"/>
    <n v="139.30000000000001"/>
    <n v="162.69999999999999"/>
    <n v="140"/>
    <n v="144"/>
    <n v="122.5"/>
    <n v="150.30000000000001"/>
    <n v="160.30000000000001"/>
    <n v="130"/>
    <n v="111.1"/>
    <n v="141.69999999999999"/>
    <n v="134.69999999999999"/>
    <n v="156.19999999999999"/>
    <x v="161"/>
    <n v="165.2"/>
    <n v="148.9"/>
    <n v="140.5"/>
    <n v="147.6"/>
    <n v="150.6"/>
    <x v="168"/>
    <n v="144.19999999999999"/>
    <x v="190"/>
    <n v="125.6"/>
    <n v="140.5"/>
    <n v="154"/>
    <x v="171"/>
    <n v="139.5"/>
    <x v="179"/>
    <m/>
    <x v="0"/>
  </r>
  <r>
    <x v="0"/>
    <x v="6"/>
    <x v="7"/>
    <s v="August,2019"/>
    <n v="139.19999999999999"/>
    <n v="161.9"/>
    <n v="137.1"/>
    <n v="144.6"/>
    <n v="124.7"/>
    <n v="145.5"/>
    <n v="156.19999999999999"/>
    <n v="131.5"/>
    <n v="111.7"/>
    <n v="142.69999999999999"/>
    <n v="138.5"/>
    <n v="156.9"/>
    <x v="162"/>
    <n v="165.1"/>
    <n v="151.80000000000001"/>
    <n v="146.6"/>
    <n v="151.1"/>
    <s v="NA"/>
    <x v="161"/>
    <n v="150.19999999999999"/>
    <x v="191"/>
    <n v="131.4"/>
    <n v="148"/>
    <n v="159.69999999999999"/>
    <x v="172"/>
    <n v="144.9"/>
    <x v="180"/>
    <m/>
    <x v="0"/>
  </r>
  <r>
    <x v="1"/>
    <x v="6"/>
    <x v="7"/>
    <s v="August,2019"/>
    <n v="142.1"/>
    <n v="158.30000000000001"/>
    <n v="140.80000000000001"/>
    <n v="144.9"/>
    <n v="119.9"/>
    <n v="153.9"/>
    <n v="189.1"/>
    <n v="129.80000000000001"/>
    <n v="112.7"/>
    <n v="142.5"/>
    <n v="129.80000000000001"/>
    <n v="156.19999999999999"/>
    <x v="163"/>
    <n v="167.9"/>
    <n v="145"/>
    <n v="132.19999999999999"/>
    <n v="143"/>
    <n v="151.6"/>
    <x v="169"/>
    <n v="138.1"/>
    <x v="192"/>
    <n v="120.8"/>
    <n v="135.4"/>
    <n v="151.5"/>
    <x v="173"/>
    <n v="135.30000000000001"/>
    <x v="179"/>
    <m/>
    <x v="0"/>
  </r>
  <r>
    <x v="2"/>
    <x v="6"/>
    <x v="7"/>
    <s v="August,2019"/>
    <n v="140.1"/>
    <n v="160.6"/>
    <n v="138.5"/>
    <n v="144.69999999999999"/>
    <n v="122.9"/>
    <n v="149.4"/>
    <n v="167.4"/>
    <n v="130.9"/>
    <n v="112"/>
    <n v="142.6"/>
    <n v="134.9"/>
    <n v="156.6"/>
    <x v="164"/>
    <n v="165.8"/>
    <n v="149.1"/>
    <n v="140.6"/>
    <n v="147.9"/>
    <n v="151.6"/>
    <x v="170"/>
    <n v="144.5"/>
    <x v="193"/>
    <n v="125.8"/>
    <n v="140.9"/>
    <n v="154.9"/>
    <x v="174"/>
    <n v="140.19999999999999"/>
    <x v="181"/>
    <m/>
    <x v="0"/>
  </r>
  <r>
    <x v="0"/>
    <x v="6"/>
    <x v="8"/>
    <s v="September,2019"/>
    <n v="140.1"/>
    <n v="161.9"/>
    <n v="138.30000000000001"/>
    <n v="145.69999999999999"/>
    <n v="125.1"/>
    <n v="143.80000000000001"/>
    <n v="163.4"/>
    <n v="132.19999999999999"/>
    <n v="112.8"/>
    <n v="144.19999999999999"/>
    <n v="138.5"/>
    <n v="157.19999999999999"/>
    <x v="165"/>
    <n v="165.7"/>
    <n v="151.69999999999999"/>
    <n v="146.6"/>
    <n v="151"/>
    <s v="NA"/>
    <x v="163"/>
    <n v="150.30000000000001"/>
    <x v="194"/>
    <n v="131.6"/>
    <n v="148.30000000000001"/>
    <n v="160.19999999999999"/>
    <x v="175"/>
    <n v="145.4"/>
    <x v="182"/>
    <m/>
    <x v="0"/>
  </r>
  <r>
    <x v="1"/>
    <x v="6"/>
    <x v="8"/>
    <s v="September,2019"/>
    <n v="142.69999999999999"/>
    <n v="158.69999999999999"/>
    <n v="141.6"/>
    <n v="144.9"/>
    <n v="120.8"/>
    <n v="149.80000000000001"/>
    <n v="192.4"/>
    <n v="130.30000000000001"/>
    <n v="114"/>
    <n v="143.80000000000001"/>
    <n v="130"/>
    <n v="156.4"/>
    <x v="166"/>
    <n v="168.6"/>
    <n v="145.30000000000001"/>
    <n v="132.19999999999999"/>
    <n v="143.30000000000001"/>
    <n v="152.19999999999999"/>
    <x v="106"/>
    <n v="138.30000000000001"/>
    <x v="195"/>
    <n v="121.2"/>
    <n v="135.9"/>
    <n v="151.6"/>
    <x v="176"/>
    <n v="135.69999999999999"/>
    <x v="183"/>
    <m/>
    <x v="0"/>
  </r>
  <r>
    <x v="2"/>
    <x v="6"/>
    <x v="8"/>
    <s v="September,2019"/>
    <n v="140.9"/>
    <n v="160.80000000000001"/>
    <n v="139.6"/>
    <n v="145.4"/>
    <n v="123.5"/>
    <n v="146.6"/>
    <n v="173.2"/>
    <n v="131.6"/>
    <n v="113.2"/>
    <n v="144.1"/>
    <n v="135"/>
    <n v="156.80000000000001"/>
    <x v="167"/>
    <n v="166.5"/>
    <n v="149.19999999999999"/>
    <n v="140.6"/>
    <n v="147.9"/>
    <n v="152.19999999999999"/>
    <x v="171"/>
    <n v="144.6"/>
    <x v="196"/>
    <n v="126.1"/>
    <n v="141.30000000000001"/>
    <n v="155.19999999999999"/>
    <x v="177"/>
    <n v="140.69999999999999"/>
    <x v="184"/>
    <m/>
    <x v="0"/>
  </r>
  <r>
    <x v="0"/>
    <x v="6"/>
    <x v="9"/>
    <s v="October,2019"/>
    <n v="141"/>
    <n v="161.6"/>
    <n v="141.19999999999999"/>
    <n v="146.5"/>
    <n v="125.6"/>
    <n v="145.69999999999999"/>
    <n v="178.8"/>
    <n v="133.1"/>
    <n v="113.6"/>
    <n v="145.5"/>
    <n v="138.6"/>
    <n v="157.4"/>
    <x v="168"/>
    <n v="166.3"/>
    <n v="151.69999999999999"/>
    <n v="146.69999999999999"/>
    <n v="151"/>
    <s v="NA"/>
    <x v="146"/>
    <n v="150.6"/>
    <x v="197"/>
    <n v="131.69999999999999"/>
    <n v="148.69999999999999"/>
    <n v="160.69999999999999"/>
    <x v="178"/>
    <n v="145.69999999999999"/>
    <x v="185"/>
    <m/>
    <x v="0"/>
  </r>
  <r>
    <x v="1"/>
    <x v="6"/>
    <x v="9"/>
    <s v="October,2019"/>
    <n v="143.5"/>
    <n v="159.80000000000001"/>
    <n v="144.69999999999999"/>
    <n v="145.6"/>
    <n v="121.1"/>
    <n v="150.6"/>
    <n v="207.2"/>
    <n v="131.19999999999999"/>
    <n v="114.8"/>
    <n v="145.19999999999999"/>
    <n v="130.19999999999999"/>
    <n v="156.80000000000001"/>
    <x v="169"/>
    <n v="169.3"/>
    <n v="145.9"/>
    <n v="132.4"/>
    <n v="143.9"/>
    <n v="153"/>
    <x v="172"/>
    <n v="138.69999999999999"/>
    <x v="198"/>
    <n v="121.5"/>
    <n v="136.19999999999999"/>
    <n v="151.69999999999999"/>
    <x v="179"/>
    <n v="136"/>
    <x v="186"/>
    <m/>
    <x v="0"/>
  </r>
  <r>
    <x v="2"/>
    <x v="6"/>
    <x v="9"/>
    <s v="October,2019"/>
    <n v="141.80000000000001"/>
    <n v="161"/>
    <n v="142.6"/>
    <n v="146.19999999999999"/>
    <n v="123.9"/>
    <n v="148"/>
    <n v="188.4"/>
    <n v="132.5"/>
    <n v="114"/>
    <n v="145.4"/>
    <n v="135.1"/>
    <n v="157.1"/>
    <x v="170"/>
    <n v="167.1"/>
    <n v="149.4"/>
    <n v="140.80000000000001"/>
    <n v="148.19999999999999"/>
    <n v="153"/>
    <x v="173"/>
    <n v="145"/>
    <x v="199"/>
    <n v="126.3"/>
    <n v="141.69999999999999"/>
    <n v="155.4"/>
    <x v="180"/>
    <n v="141"/>
    <x v="187"/>
    <m/>
    <x v="0"/>
  </r>
  <r>
    <x v="0"/>
    <x v="6"/>
    <x v="11"/>
    <s v="November,2019"/>
    <n v="141.80000000000001"/>
    <n v="163.69999999999999"/>
    <n v="143.80000000000001"/>
    <n v="147.1"/>
    <n v="126"/>
    <n v="146.19999999999999"/>
    <n v="191.4"/>
    <n v="136.19999999999999"/>
    <n v="113.8"/>
    <n v="147.30000000000001"/>
    <n v="138.69999999999999"/>
    <n v="157.69999999999999"/>
    <x v="171"/>
    <n v="167.2"/>
    <n v="152.30000000000001"/>
    <n v="147"/>
    <n v="151.5"/>
    <s v="NA"/>
    <x v="174"/>
    <n v="150.9"/>
    <x v="200"/>
    <n v="132.1"/>
    <n v="149.1"/>
    <n v="160.80000000000001"/>
    <x v="181"/>
    <n v="146.1"/>
    <x v="188"/>
    <m/>
    <x v="0"/>
  </r>
  <r>
    <x v="1"/>
    <x v="6"/>
    <x v="11"/>
    <s v="November,2019"/>
    <n v="144.1"/>
    <n v="162.4"/>
    <n v="148.4"/>
    <n v="145.9"/>
    <n v="121.5"/>
    <n v="148.80000000000001"/>
    <n v="215.7"/>
    <n v="134.6"/>
    <n v="115"/>
    <n v="146.30000000000001"/>
    <n v="130.5"/>
    <n v="157.19999999999999"/>
    <x v="172"/>
    <n v="169.9"/>
    <n v="146.30000000000001"/>
    <n v="132.6"/>
    <n v="144.19999999999999"/>
    <n v="153.5"/>
    <x v="126"/>
    <n v="139.1"/>
    <x v="201"/>
    <n v="121.7"/>
    <n v="136.69999999999999"/>
    <n v="151.80000000000001"/>
    <x v="182"/>
    <n v="136.30000000000001"/>
    <x v="189"/>
    <m/>
    <x v="0"/>
  </r>
  <r>
    <x v="2"/>
    <x v="6"/>
    <x v="11"/>
    <s v="November,2019"/>
    <n v="142.5"/>
    <n v="163.19999999999999"/>
    <n v="145.6"/>
    <n v="146.69999999999999"/>
    <n v="124.3"/>
    <n v="147.4"/>
    <n v="199.6"/>
    <n v="135.69999999999999"/>
    <n v="114.2"/>
    <n v="147"/>
    <n v="135.30000000000001"/>
    <n v="157.5"/>
    <x v="169"/>
    <n v="167.9"/>
    <n v="149.9"/>
    <n v="141"/>
    <n v="148.6"/>
    <n v="153.5"/>
    <x v="130"/>
    <n v="145.30000000000001"/>
    <x v="175"/>
    <n v="126.6"/>
    <n v="142.1"/>
    <n v="155.5"/>
    <x v="178"/>
    <n v="141.30000000000001"/>
    <x v="190"/>
    <m/>
    <x v="0"/>
  </r>
  <r>
    <x v="0"/>
    <x v="6"/>
    <x v="12"/>
    <s v="December,2019"/>
    <n v="142.80000000000001"/>
    <n v="165.3"/>
    <n v="149.5"/>
    <n v="148.69999999999999"/>
    <n v="127.5"/>
    <n v="144.30000000000001"/>
    <n v="209.5"/>
    <n v="138.80000000000001"/>
    <n v="113.6"/>
    <n v="149.1"/>
    <n v="139.30000000000001"/>
    <n v="158.30000000000001"/>
    <x v="173"/>
    <n v="167.8"/>
    <n v="152.6"/>
    <n v="147.30000000000001"/>
    <n v="151.9"/>
    <s v="NA"/>
    <x v="175"/>
    <n v="151.19999999999999"/>
    <x v="202"/>
    <n v="135"/>
    <n v="149.5"/>
    <n v="161.1"/>
    <x v="181"/>
    <n v="147.1"/>
    <x v="191"/>
    <m/>
    <x v="0"/>
  </r>
  <r>
    <x v="1"/>
    <x v="6"/>
    <x v="12"/>
    <s v="December,2019"/>
    <n v="144.9"/>
    <n v="164.5"/>
    <n v="153.69999999999999"/>
    <n v="147.5"/>
    <n v="122.7"/>
    <n v="147.19999999999999"/>
    <n v="231.5"/>
    <n v="137.19999999999999"/>
    <n v="114.7"/>
    <n v="148"/>
    <n v="130.80000000000001"/>
    <n v="157.69999999999999"/>
    <x v="174"/>
    <n v="170.4"/>
    <n v="146.80000000000001"/>
    <n v="132.80000000000001"/>
    <n v="144.6"/>
    <n v="152.80000000000001"/>
    <x v="176"/>
    <n v="139.80000000000001"/>
    <x v="203"/>
    <n v="125.2"/>
    <n v="136.80000000000001"/>
    <n v="151.9"/>
    <x v="175"/>
    <n v="137.69999999999999"/>
    <x v="185"/>
    <m/>
    <x v="0"/>
  </r>
  <r>
    <x v="2"/>
    <x v="6"/>
    <x v="12"/>
    <s v="December,2019"/>
    <n v="143.5"/>
    <n v="165"/>
    <n v="151.1"/>
    <n v="148.30000000000001"/>
    <n v="125.7"/>
    <n v="145.69999999999999"/>
    <n v="217"/>
    <n v="138.30000000000001"/>
    <n v="114"/>
    <n v="148.69999999999999"/>
    <n v="135.80000000000001"/>
    <n v="158"/>
    <x v="175"/>
    <n v="168.5"/>
    <n v="150.30000000000001"/>
    <n v="141.30000000000001"/>
    <n v="149"/>
    <n v="152.80000000000001"/>
    <x v="177"/>
    <n v="145.80000000000001"/>
    <x v="178"/>
    <n v="129.80000000000001"/>
    <n v="142.30000000000001"/>
    <n v="155.69999999999999"/>
    <x v="183"/>
    <n v="142.5"/>
    <x v="192"/>
    <m/>
    <x v="0"/>
  </r>
  <r>
    <x v="0"/>
    <x v="7"/>
    <x v="0"/>
    <s v="January,2020"/>
    <n v="143.69999999999999"/>
    <n v="167.3"/>
    <n v="153.5"/>
    <n v="150.5"/>
    <n v="132"/>
    <n v="142.19999999999999"/>
    <n v="191.5"/>
    <n v="141.1"/>
    <n v="113.8"/>
    <n v="151.6"/>
    <n v="139.69999999999999"/>
    <n v="158.69999999999999"/>
    <x v="176"/>
    <n v="168.6"/>
    <n v="152.80000000000001"/>
    <n v="147.4"/>
    <n v="152.1"/>
    <s v="NA"/>
    <x v="178"/>
    <n v="151.69999999999999"/>
    <x v="204"/>
    <n v="136.30000000000001"/>
    <n v="150.1"/>
    <n v="161.69999999999999"/>
    <x v="184"/>
    <n v="148.1"/>
    <x v="193"/>
    <m/>
    <x v="0"/>
  </r>
  <r>
    <x v="1"/>
    <x v="7"/>
    <x v="0"/>
    <s v="January,2020"/>
    <n v="145.6"/>
    <n v="167.6"/>
    <n v="157"/>
    <n v="149.30000000000001"/>
    <n v="126.3"/>
    <n v="144.4"/>
    <n v="207.8"/>
    <n v="139.1"/>
    <n v="114.8"/>
    <n v="149.5"/>
    <n v="131.1"/>
    <n v="158.5"/>
    <x v="177"/>
    <n v="170.8"/>
    <n v="147"/>
    <n v="133.19999999999999"/>
    <n v="144.9"/>
    <n v="153.9"/>
    <x v="179"/>
    <n v="140.1"/>
    <x v="205"/>
    <n v="126.1"/>
    <n v="137.19999999999999"/>
    <n v="152.1"/>
    <x v="185"/>
    <n v="138.4"/>
    <x v="194"/>
    <m/>
    <x v="0"/>
  </r>
  <r>
    <x v="2"/>
    <x v="7"/>
    <x v="0"/>
    <s v="January,2020"/>
    <n v="144.30000000000001"/>
    <n v="167.4"/>
    <n v="154.9"/>
    <n v="150.1"/>
    <n v="129.9"/>
    <n v="143.19999999999999"/>
    <n v="197"/>
    <n v="140.4"/>
    <n v="114.1"/>
    <n v="150.9"/>
    <n v="136.1"/>
    <n v="158.6"/>
    <x v="178"/>
    <n v="169.2"/>
    <n v="150.5"/>
    <n v="141.5"/>
    <n v="149.19999999999999"/>
    <n v="153.9"/>
    <x v="180"/>
    <n v="146.19999999999999"/>
    <x v="206"/>
    <n v="130.9"/>
    <n v="142.80000000000001"/>
    <n v="156.1"/>
    <x v="186"/>
    <n v="143.4"/>
    <x v="195"/>
    <m/>
    <x v="0"/>
  </r>
  <r>
    <x v="0"/>
    <x v="7"/>
    <x v="1"/>
    <s v="February,2020"/>
    <n v="144.19999999999999"/>
    <n v="167.5"/>
    <n v="150.9"/>
    <n v="150.9"/>
    <n v="133.69999999999999"/>
    <n v="140.69999999999999"/>
    <n v="165.1"/>
    <n v="141.80000000000001"/>
    <n v="113.1"/>
    <n v="152.80000000000001"/>
    <n v="140.1"/>
    <n v="159.19999999999999"/>
    <x v="179"/>
    <n v="169.4"/>
    <n v="153"/>
    <n v="147.5"/>
    <n v="152.30000000000001"/>
    <s v="NA"/>
    <x v="181"/>
    <n v="151.80000000000001"/>
    <x v="207"/>
    <n v="136"/>
    <n v="150.4"/>
    <n v="161.9"/>
    <x v="187"/>
    <n v="148.4"/>
    <x v="192"/>
    <m/>
    <x v="0"/>
  </r>
  <r>
    <x v="1"/>
    <x v="7"/>
    <x v="1"/>
    <s v="February,2020"/>
    <n v="146.19999999999999"/>
    <n v="167.6"/>
    <n v="153.1"/>
    <n v="150.69999999999999"/>
    <n v="127.4"/>
    <n v="143.1"/>
    <n v="181.7"/>
    <n v="139.6"/>
    <n v="114.6"/>
    <n v="150.4"/>
    <n v="131.5"/>
    <n v="159"/>
    <x v="180"/>
    <n v="172"/>
    <n v="147.30000000000001"/>
    <n v="133.5"/>
    <n v="145.19999999999999"/>
    <n v="154.80000000000001"/>
    <x v="182"/>
    <n v="140.4"/>
    <x v="208"/>
    <n v="125.2"/>
    <n v="137.69999999999999"/>
    <n v="152.19999999999999"/>
    <x v="188"/>
    <n v="138.4"/>
    <x v="196"/>
    <m/>
    <x v="0"/>
  </r>
  <r>
    <x v="2"/>
    <x v="7"/>
    <x v="1"/>
    <s v="February,2020"/>
    <n v="144.80000000000001"/>
    <n v="167.5"/>
    <n v="151.80000000000001"/>
    <n v="150.80000000000001"/>
    <n v="131.4"/>
    <n v="141.80000000000001"/>
    <n v="170.7"/>
    <n v="141.1"/>
    <n v="113.6"/>
    <n v="152"/>
    <n v="136.5"/>
    <n v="159.1"/>
    <x v="181"/>
    <n v="170.1"/>
    <n v="150.80000000000001"/>
    <n v="141.69999999999999"/>
    <n v="149.5"/>
    <n v="154.80000000000001"/>
    <x v="183"/>
    <n v="146.4"/>
    <x v="185"/>
    <n v="130.30000000000001"/>
    <n v="143.19999999999999"/>
    <n v="156.19999999999999"/>
    <x v="187"/>
    <n v="143.6"/>
    <x v="197"/>
    <m/>
    <x v="0"/>
  </r>
  <r>
    <x v="0"/>
    <x v="7"/>
    <x v="2"/>
    <s v="March,2020"/>
    <n v="144.4"/>
    <n v="166.8"/>
    <n v="147.6"/>
    <n v="151.69999999999999"/>
    <n v="133.30000000000001"/>
    <n v="141.80000000000001"/>
    <n v="152.30000000000001"/>
    <n v="141.80000000000001"/>
    <n v="112.6"/>
    <n v="154"/>
    <n v="140.1"/>
    <n v="160"/>
    <x v="182"/>
    <n v="170.5"/>
    <n v="153.4"/>
    <n v="147.6"/>
    <n v="152.5"/>
    <s v="NA"/>
    <x v="184"/>
    <n v="151.5"/>
    <x v="209"/>
    <n v="135.80000000000001"/>
    <n v="151.19999999999999"/>
    <n v="161.19999999999999"/>
    <x v="189"/>
    <n v="148.6"/>
    <x v="198"/>
    <m/>
    <x v="0"/>
  </r>
  <r>
    <x v="1"/>
    <x v="7"/>
    <x v="2"/>
    <s v="March,2020"/>
    <n v="146.5"/>
    <n v="167.5"/>
    <n v="148.9"/>
    <n v="151.1"/>
    <n v="127.5"/>
    <n v="143.30000000000001"/>
    <n v="167"/>
    <n v="139.69999999999999"/>
    <n v="114.4"/>
    <n v="151.5"/>
    <n v="131.9"/>
    <n v="159.1"/>
    <x v="183"/>
    <n v="173.3"/>
    <n v="147.69999999999999"/>
    <n v="133.80000000000001"/>
    <n v="145.6"/>
    <n v="154.5"/>
    <x v="185"/>
    <n v="140.80000000000001"/>
    <x v="210"/>
    <n v="124.6"/>
    <n v="137.9"/>
    <n v="152.5"/>
    <x v="190"/>
    <n v="138.69999999999999"/>
    <x v="199"/>
    <m/>
    <x v="0"/>
  </r>
  <r>
    <x v="2"/>
    <x v="7"/>
    <x v="2"/>
    <s v="March,2020"/>
    <n v="145.1"/>
    <n v="167"/>
    <n v="148.1"/>
    <n v="151.5"/>
    <n v="131.19999999999999"/>
    <n v="142.5"/>
    <n v="157.30000000000001"/>
    <n v="141.1"/>
    <n v="113.2"/>
    <n v="153.19999999999999"/>
    <n v="136.69999999999999"/>
    <n v="159.6"/>
    <x v="184"/>
    <n v="171.2"/>
    <n v="151.19999999999999"/>
    <n v="141.9"/>
    <n v="149.80000000000001"/>
    <n v="154.5"/>
    <x v="186"/>
    <n v="146.4"/>
    <x v="211"/>
    <n v="129.9"/>
    <n v="143.69999999999999"/>
    <n v="156.1"/>
    <x v="191"/>
    <n v="143.80000000000001"/>
    <x v="190"/>
    <m/>
    <x v="0"/>
  </r>
  <r>
    <x v="0"/>
    <x v="7"/>
    <x v="3"/>
    <s v="April,2020"/>
    <n v="147.19999999999999"/>
    <n v="178.5"/>
    <n v="146.9"/>
    <n v="155.6"/>
    <n v="137.1"/>
    <n v="147.30000000000001"/>
    <n v="162.69999999999999"/>
    <n v="150.19999999999999"/>
    <n v="119.8"/>
    <n v="158.69999999999999"/>
    <n v="139.19999999999999"/>
    <n v="160.9"/>
    <x v="183"/>
    <n v="176.4"/>
    <n v="154"/>
    <n v="148.80000000000001"/>
    <n v="153.4"/>
    <s v="NA"/>
    <x v="174"/>
    <n v="151.6"/>
    <x v="200"/>
    <n v="138.6"/>
    <n v="152.19999999999999"/>
    <n v="161.5"/>
    <x v="192"/>
    <n v="150.1"/>
    <x v="200"/>
    <m/>
    <x v="0"/>
  </r>
  <r>
    <x v="1"/>
    <x v="7"/>
    <x v="3"/>
    <s v="April,2020"/>
    <n v="151.80000000000001"/>
    <n v="182.2"/>
    <n v="151.9"/>
    <n v="155.5"/>
    <n v="131.6"/>
    <n v="152.9"/>
    <n v="180"/>
    <n v="150.80000000000001"/>
    <n v="121.2"/>
    <n v="154"/>
    <n v="133.5"/>
    <n v="160.4"/>
    <x v="178"/>
    <n v="180"/>
    <n v="148.4"/>
    <n v="135.19999999999999"/>
    <n v="146.4"/>
    <n v="155.6"/>
    <x v="187"/>
    <n v="140.6"/>
    <x v="166"/>
    <n v="126.9"/>
    <n v="141.19999999999999"/>
    <n v="152.5"/>
    <x v="193"/>
    <n v="140.30000000000001"/>
    <x v="201"/>
    <m/>
    <x v="0"/>
  </r>
  <r>
    <x v="2"/>
    <x v="7"/>
    <x v="3"/>
    <s v="April,2020"/>
    <n v="148.69999999999999"/>
    <n v="179.8"/>
    <n v="148.80000000000001"/>
    <n v="155.6"/>
    <n v="135.1"/>
    <n v="149.9"/>
    <n v="168.6"/>
    <n v="150.4"/>
    <n v="120.3"/>
    <n v="157.1"/>
    <n v="136.80000000000001"/>
    <n v="160.69999999999999"/>
    <x v="185"/>
    <n v="177.3"/>
    <n v="151.80000000000001"/>
    <n v="143.1"/>
    <n v="150.6"/>
    <n v="155.6"/>
    <x v="188"/>
    <n v="146.4"/>
    <x v="212"/>
    <n v="132.4"/>
    <n v="146"/>
    <n v="156.19999999999999"/>
    <x v="194"/>
    <n v="145.4"/>
    <x v="195"/>
    <m/>
    <x v="0"/>
  </r>
  <r>
    <x v="0"/>
    <x v="7"/>
    <x v="4"/>
    <s v="May,2020"/>
    <n v="147.69999999999999"/>
    <n v="184.4"/>
    <n v="148.1"/>
    <n v="154.4"/>
    <n v="137.6"/>
    <n v="145.19999999999999"/>
    <n v="155.80000000000001"/>
    <n v="150.19999999999999"/>
    <n v="116.5"/>
    <n v="159.19999999999999"/>
    <n v="140.6"/>
    <n v="161.30000000000001"/>
    <x v="186"/>
    <n v="179.4"/>
    <n v="154.30000000000001"/>
    <n v="149.4"/>
    <n v="153.69999999999999"/>
    <s v="NA"/>
    <x v="189"/>
    <n v="151.6"/>
    <x v="207"/>
    <n v="140"/>
    <n v="152.69999999999999"/>
    <n v="161.6"/>
    <x v="195"/>
    <n v="150.9"/>
    <x v="193"/>
    <m/>
    <x v="0"/>
  </r>
  <r>
    <x v="1"/>
    <x v="7"/>
    <x v="4"/>
    <s v="May,2020"/>
    <n v="152.19999999999999"/>
    <n v="189.6"/>
    <n v="153.19999999999999"/>
    <n v="154.4"/>
    <n v="131.9"/>
    <n v="152.30000000000001"/>
    <n v="175.6"/>
    <n v="151.4"/>
    <n v="118.7"/>
    <n v="156.4"/>
    <n v="134.5"/>
    <n v="161"/>
    <x v="187"/>
    <n v="183.3"/>
    <n v="148.69999999999999"/>
    <n v="135.9"/>
    <n v="146.80000000000001"/>
    <n v="155.1"/>
    <x v="187"/>
    <n v="140.5"/>
    <x v="213"/>
    <n v="128.1"/>
    <n v="142.80000000000001"/>
    <n v="152.5"/>
    <x v="196"/>
    <n v="141.1"/>
    <x v="188"/>
    <m/>
    <x v="0"/>
  </r>
  <r>
    <x v="2"/>
    <x v="7"/>
    <x v="4"/>
    <s v="May,2020"/>
    <n v="149.1"/>
    <n v="186.2"/>
    <n v="150.1"/>
    <n v="154.4"/>
    <n v="135.69999999999999"/>
    <n v="148.5"/>
    <n v="162.5"/>
    <n v="150.6"/>
    <n v="117.2"/>
    <n v="158.30000000000001"/>
    <n v="138.1"/>
    <n v="161.19999999999999"/>
    <x v="188"/>
    <n v="180.4"/>
    <n v="152.5"/>
    <n v="143.69999999999999"/>
    <n v="151"/>
    <n v="155.1"/>
    <x v="190"/>
    <n v="146.4"/>
    <x v="214"/>
    <n v="133.69999999999999"/>
    <n v="147.1"/>
    <n v="156.30000000000001"/>
    <x v="197"/>
    <n v="146.19999999999999"/>
    <x v="202"/>
    <m/>
    <x v="0"/>
  </r>
  <r>
    <x v="0"/>
    <x v="7"/>
    <x v="5"/>
    <s v="June,2020"/>
    <n v="148.19999999999999"/>
    <n v="190.3"/>
    <n v="149.4"/>
    <n v="153.30000000000001"/>
    <n v="138.19999999999999"/>
    <n v="143.19999999999999"/>
    <n v="148.9"/>
    <n v="150.30000000000001"/>
    <n v="113.2"/>
    <n v="159.80000000000001"/>
    <n v="142.1"/>
    <n v="161.80000000000001"/>
    <x v="189"/>
    <n v="182.4"/>
    <n v="154.69999999999999"/>
    <n v="150"/>
    <n v="154.1"/>
    <s v="NA"/>
    <x v="191"/>
    <n v="151.69999999999999"/>
    <x v="215"/>
    <n v="141.4"/>
    <n v="153.19999999999999"/>
    <n v="161.80000000000001"/>
    <x v="198"/>
    <n v="151.69999999999999"/>
    <x v="203"/>
    <m/>
    <x v="0"/>
  </r>
  <r>
    <x v="1"/>
    <x v="7"/>
    <x v="5"/>
    <s v="June,2020"/>
    <n v="152.69999999999999"/>
    <n v="197"/>
    <n v="154.6"/>
    <n v="153.4"/>
    <n v="132.9"/>
    <n v="151.80000000000001"/>
    <n v="171.2"/>
    <n v="152"/>
    <n v="116.3"/>
    <n v="158.80000000000001"/>
    <n v="135.6"/>
    <n v="161.69999999999999"/>
    <x v="190"/>
    <n v="186.7"/>
    <n v="149.1"/>
    <n v="136.6"/>
    <n v="147.19999999999999"/>
    <n v="154.69999999999999"/>
    <x v="187"/>
    <n v="140.4"/>
    <x v="216"/>
    <n v="129.30000000000001"/>
    <n v="144.5"/>
    <n v="152.5"/>
    <x v="199"/>
    <n v="142"/>
    <x v="204"/>
    <m/>
    <x v="0"/>
  </r>
  <r>
    <x v="2"/>
    <x v="7"/>
    <x v="5"/>
    <s v="June,2020"/>
    <n v="149.6"/>
    <n v="192.7"/>
    <n v="151.4"/>
    <n v="153.30000000000001"/>
    <n v="136.30000000000001"/>
    <n v="147.19999999999999"/>
    <n v="156.5"/>
    <n v="150.9"/>
    <n v="114.2"/>
    <n v="159.5"/>
    <n v="139.4"/>
    <n v="161.80000000000001"/>
    <x v="191"/>
    <n v="183.5"/>
    <n v="152.5"/>
    <n v="144.4"/>
    <n v="151.4"/>
    <n v="154.69999999999999"/>
    <x v="192"/>
    <n v="146.4"/>
    <x v="217"/>
    <n v="135"/>
    <n v="148.30000000000001"/>
    <n v="156.4"/>
    <x v="200"/>
    <n v="147"/>
    <x v="205"/>
    <m/>
    <x v="0"/>
  </r>
  <r>
    <x v="0"/>
    <x v="7"/>
    <x v="6"/>
    <s v="July,2020"/>
    <n v="148.19999999999999"/>
    <n v="190.3"/>
    <n v="149.4"/>
    <n v="153.30000000000001"/>
    <n v="138.19999999999999"/>
    <n v="143.19999999999999"/>
    <n v="148.9"/>
    <n v="150.30000000000001"/>
    <n v="113.2"/>
    <n v="159.80000000000001"/>
    <n v="142.1"/>
    <n v="161.80000000000001"/>
    <x v="189"/>
    <n v="182.4"/>
    <n v="154.69999999999999"/>
    <n v="150"/>
    <n v="154.1"/>
    <s v="NA"/>
    <x v="191"/>
    <n v="151.69999999999999"/>
    <x v="215"/>
    <n v="141.4"/>
    <n v="153.19999999999999"/>
    <n v="161.80000000000001"/>
    <x v="198"/>
    <n v="151.69999999999999"/>
    <x v="203"/>
    <m/>
    <x v="0"/>
  </r>
  <r>
    <x v="1"/>
    <x v="7"/>
    <x v="6"/>
    <s v="July,2020"/>
    <n v="152.69999999999999"/>
    <n v="197"/>
    <n v="154.6"/>
    <n v="153.4"/>
    <n v="132.9"/>
    <n v="151.80000000000001"/>
    <n v="171.2"/>
    <n v="152"/>
    <n v="116.3"/>
    <n v="158.80000000000001"/>
    <n v="135.6"/>
    <n v="161.69999999999999"/>
    <x v="190"/>
    <n v="186.7"/>
    <n v="149.1"/>
    <n v="136.6"/>
    <n v="147.19999999999999"/>
    <n v="154.69999999999999"/>
    <x v="187"/>
    <n v="140.4"/>
    <x v="216"/>
    <n v="129.30000000000001"/>
    <n v="144.5"/>
    <n v="152.5"/>
    <x v="199"/>
    <n v="142"/>
    <x v="204"/>
    <m/>
    <x v="0"/>
  </r>
  <r>
    <x v="2"/>
    <x v="7"/>
    <x v="6"/>
    <s v="July,2020"/>
    <n v="149.6"/>
    <n v="192.7"/>
    <n v="151.4"/>
    <n v="153.30000000000001"/>
    <n v="136.30000000000001"/>
    <n v="147.19999999999999"/>
    <n v="156.5"/>
    <n v="150.9"/>
    <n v="114.2"/>
    <n v="159.5"/>
    <n v="139.4"/>
    <n v="161.80000000000001"/>
    <x v="191"/>
    <n v="183.5"/>
    <n v="152.5"/>
    <n v="144.4"/>
    <n v="151.4"/>
    <n v="154.69999999999999"/>
    <x v="192"/>
    <n v="146.4"/>
    <x v="217"/>
    <n v="135"/>
    <n v="148.30000000000001"/>
    <n v="156.4"/>
    <x v="200"/>
    <n v="147"/>
    <x v="205"/>
    <m/>
    <x v="0"/>
  </r>
  <r>
    <x v="0"/>
    <x v="7"/>
    <x v="7"/>
    <s v="August,2020"/>
    <n v="147.6"/>
    <n v="187.2"/>
    <n v="148.4"/>
    <n v="153.30000000000001"/>
    <n v="139.80000000000001"/>
    <n v="146.9"/>
    <n v="171"/>
    <n v="149.9"/>
    <n v="114.2"/>
    <n v="160"/>
    <n v="143.5"/>
    <n v="161.5"/>
    <x v="192"/>
    <n v="180.9"/>
    <n v="155.1"/>
    <n v="149.30000000000001"/>
    <n v="154.30000000000001"/>
    <s v="NA"/>
    <x v="193"/>
    <n v="151.9"/>
    <x v="218"/>
    <n v="143.6"/>
    <n v="152.19999999999999"/>
    <n v="162.69999999999999"/>
    <x v="201"/>
    <n v="153"/>
    <x v="206"/>
    <m/>
    <x v="0"/>
  </r>
  <r>
    <x v="1"/>
    <x v="7"/>
    <x v="7"/>
    <s v="August,2020"/>
    <n v="151.6"/>
    <n v="197.8"/>
    <n v="154.5"/>
    <n v="153.4"/>
    <n v="133.4"/>
    <n v="154.5"/>
    <n v="191.9"/>
    <n v="151.30000000000001"/>
    <n v="116.8"/>
    <n v="160"/>
    <n v="136.5"/>
    <n v="163.30000000000001"/>
    <x v="193"/>
    <n v="187.2"/>
    <n v="150"/>
    <n v="135.19999999999999"/>
    <n v="147.80000000000001"/>
    <n v="155.5"/>
    <x v="194"/>
    <n v="144.5"/>
    <x v="219"/>
    <n v="133.9"/>
    <n v="141.19999999999999"/>
    <n v="155.5"/>
    <x v="202"/>
    <n v="144.80000000000001"/>
    <x v="207"/>
    <m/>
    <x v="0"/>
  </r>
  <r>
    <x v="2"/>
    <x v="7"/>
    <x v="7"/>
    <s v="August,2020"/>
    <n v="148.9"/>
    <n v="190.9"/>
    <n v="150.80000000000001"/>
    <n v="153.30000000000001"/>
    <n v="137.4"/>
    <n v="150.4"/>
    <n v="178.1"/>
    <n v="150.4"/>
    <n v="115.1"/>
    <n v="160"/>
    <n v="140.6"/>
    <n v="162.30000000000001"/>
    <x v="190"/>
    <n v="182.6"/>
    <n v="153.1"/>
    <n v="143.4"/>
    <n v="151.69999999999999"/>
    <n v="155.5"/>
    <x v="190"/>
    <n v="148.4"/>
    <x v="220"/>
    <n v="138.5"/>
    <n v="146"/>
    <n v="158.5"/>
    <x v="203"/>
    <n v="149"/>
    <x v="208"/>
    <m/>
    <x v="0"/>
  </r>
  <r>
    <x v="0"/>
    <x v="7"/>
    <x v="8"/>
    <s v="September,2020"/>
    <n v="146.9"/>
    <n v="183.9"/>
    <n v="149.5"/>
    <n v="153.4"/>
    <n v="140.4"/>
    <n v="147"/>
    <n v="178.8"/>
    <n v="149.30000000000001"/>
    <n v="115.1"/>
    <n v="160"/>
    <n v="145.4"/>
    <n v="161.6"/>
    <x v="194"/>
    <n v="182.9"/>
    <n v="155.4"/>
    <n v="149.9"/>
    <n v="154.6"/>
    <s v="NA"/>
    <x v="161"/>
    <n v="151.6"/>
    <x v="221"/>
    <n v="144.6"/>
    <n v="152.80000000000001"/>
    <n v="161.1"/>
    <x v="204"/>
    <n v="153.69999999999999"/>
    <x v="209"/>
    <m/>
    <x v="0"/>
  </r>
  <r>
    <x v="1"/>
    <x v="7"/>
    <x v="8"/>
    <s v="September,2020"/>
    <n v="151.5"/>
    <n v="193.1"/>
    <n v="157.30000000000001"/>
    <n v="153.9"/>
    <n v="134.4"/>
    <n v="155.4"/>
    <n v="202"/>
    <n v="150.80000000000001"/>
    <n v="118.9"/>
    <n v="160.9"/>
    <n v="137.69999999999999"/>
    <n v="164.4"/>
    <x v="195"/>
    <n v="188.7"/>
    <n v="150.19999999999999"/>
    <n v="136.30000000000001"/>
    <n v="148.1"/>
    <n v="156.30000000000001"/>
    <x v="195"/>
    <n v="145.4"/>
    <x v="222"/>
    <n v="135.1"/>
    <n v="141.80000000000001"/>
    <n v="154.9"/>
    <x v="205"/>
    <n v="146"/>
    <x v="210"/>
    <m/>
    <x v="0"/>
  </r>
  <r>
    <x v="2"/>
    <x v="7"/>
    <x v="8"/>
    <s v="September,2020"/>
    <n v="148.4"/>
    <n v="187.1"/>
    <n v="152.5"/>
    <n v="153.6"/>
    <n v="138.19999999999999"/>
    <n v="150.9"/>
    <n v="186.7"/>
    <n v="149.80000000000001"/>
    <n v="116.4"/>
    <n v="160.30000000000001"/>
    <n v="142.19999999999999"/>
    <n v="162.9"/>
    <x v="196"/>
    <n v="184.4"/>
    <n v="153.4"/>
    <n v="144.30000000000001"/>
    <n v="152"/>
    <n v="156.30000000000001"/>
    <x v="196"/>
    <n v="148.69999999999999"/>
    <x v="223"/>
    <n v="139.6"/>
    <n v="146.6"/>
    <n v="157.5"/>
    <x v="206"/>
    <n v="150"/>
    <x v="206"/>
    <m/>
    <x v="0"/>
  </r>
  <r>
    <x v="0"/>
    <x v="7"/>
    <x v="9"/>
    <s v="October,2020"/>
    <n v="146"/>
    <n v="186.3"/>
    <n v="159.19999999999999"/>
    <n v="153.6"/>
    <n v="142.6"/>
    <n v="147.19999999999999"/>
    <n v="200.6"/>
    <n v="150.30000000000001"/>
    <n v="115.3"/>
    <n v="160.9"/>
    <n v="147.4"/>
    <n v="161.9"/>
    <x v="197"/>
    <n v="182.7"/>
    <n v="155.69999999999999"/>
    <n v="150.6"/>
    <n v="155"/>
    <s v="NA"/>
    <x v="143"/>
    <n v="152"/>
    <x v="224"/>
    <n v="146.4"/>
    <n v="152.4"/>
    <n v="162.5"/>
    <x v="207"/>
    <n v="154.30000000000001"/>
    <x v="211"/>
    <m/>
    <x v="0"/>
  </r>
  <r>
    <x v="1"/>
    <x v="7"/>
    <x v="9"/>
    <s v="October,2020"/>
    <n v="150.6"/>
    <n v="193.7"/>
    <n v="164.8"/>
    <n v="153.69999999999999"/>
    <n v="135.69999999999999"/>
    <n v="155.69999999999999"/>
    <n v="226"/>
    <n v="152.19999999999999"/>
    <n v="118.1"/>
    <n v="161.30000000000001"/>
    <n v="139.19999999999999"/>
    <n v="164.8"/>
    <x v="198"/>
    <n v="188.7"/>
    <n v="150.5"/>
    <n v="136.1"/>
    <n v="148.30000000000001"/>
    <n v="156.5"/>
    <x v="187"/>
    <n v="145.1"/>
    <x v="225"/>
    <n v="135.4"/>
    <n v="142"/>
    <n v="155.69999999999999"/>
    <x v="208"/>
    <n v="146.19999999999999"/>
    <x v="212"/>
    <m/>
    <x v="0"/>
  </r>
  <r>
    <x v="2"/>
    <x v="7"/>
    <x v="9"/>
    <s v="October,2020"/>
    <n v="147.5"/>
    <n v="188.9"/>
    <n v="161.4"/>
    <n v="153.6"/>
    <n v="140.1"/>
    <n v="151.19999999999999"/>
    <n v="209.2"/>
    <n v="150.9"/>
    <n v="116.2"/>
    <n v="161"/>
    <n v="144"/>
    <n v="163.19999999999999"/>
    <x v="199"/>
    <n v="184.3"/>
    <n v="153.69999999999999"/>
    <n v="144.6"/>
    <n v="152.30000000000001"/>
    <n v="156.5"/>
    <x v="197"/>
    <n v="148.69999999999999"/>
    <x v="226"/>
    <n v="140.6"/>
    <n v="146.5"/>
    <n v="158.5"/>
    <x v="209"/>
    <n v="150.4"/>
    <x v="213"/>
    <m/>
    <x v="0"/>
  </r>
  <r>
    <x v="0"/>
    <x v="7"/>
    <x v="11"/>
    <s v="November,2020"/>
    <n v="145.4"/>
    <n v="188.6"/>
    <n v="171.6"/>
    <n v="153.80000000000001"/>
    <n v="145.4"/>
    <n v="146.5"/>
    <n v="222.2"/>
    <n v="155.9"/>
    <n v="114.9"/>
    <n v="162"/>
    <n v="150"/>
    <n v="162.69999999999999"/>
    <x v="200"/>
    <n v="183.4"/>
    <n v="156.30000000000001"/>
    <n v="151"/>
    <n v="155.5"/>
    <s v="NA"/>
    <x v="198"/>
    <n v="152.80000000000001"/>
    <x v="227"/>
    <n v="146.1"/>
    <n v="153.6"/>
    <n v="161.6"/>
    <x v="207"/>
    <n v="154.5"/>
    <x v="214"/>
    <m/>
    <x v="0"/>
  </r>
  <r>
    <x v="1"/>
    <x v="7"/>
    <x v="11"/>
    <s v="November,2020"/>
    <n v="149.69999999999999"/>
    <n v="195.5"/>
    <n v="176.9"/>
    <n v="153.9"/>
    <n v="138"/>
    <n v="150.5"/>
    <n v="245.3"/>
    <n v="158.69999999999999"/>
    <n v="117.2"/>
    <n v="161.4"/>
    <n v="141.5"/>
    <n v="165.1"/>
    <x v="201"/>
    <n v="188.8"/>
    <n v="151.1"/>
    <n v="136.4"/>
    <n v="148.80000000000001"/>
    <n v="158"/>
    <x v="199"/>
    <n v="145.1"/>
    <x v="228"/>
    <n v="135.19999999999999"/>
    <n v="144.4"/>
    <n v="156.4"/>
    <x v="210"/>
    <n v="146.6"/>
    <x v="215"/>
    <m/>
    <x v="0"/>
  </r>
  <r>
    <x v="2"/>
    <x v="7"/>
    <x v="11"/>
    <s v="November,2020"/>
    <n v="146.80000000000001"/>
    <n v="191"/>
    <n v="173.6"/>
    <n v="153.80000000000001"/>
    <n v="142.69999999999999"/>
    <n v="148.4"/>
    <n v="230"/>
    <n v="156.80000000000001"/>
    <n v="115.7"/>
    <n v="161.80000000000001"/>
    <n v="146.5"/>
    <n v="163.80000000000001"/>
    <x v="202"/>
    <n v="184.8"/>
    <n v="154.30000000000001"/>
    <n v="144.9"/>
    <n v="152.80000000000001"/>
    <n v="158"/>
    <x v="200"/>
    <n v="149.19999999999999"/>
    <x v="229"/>
    <n v="140.4"/>
    <n v="148.4"/>
    <n v="158.6"/>
    <x v="211"/>
    <n v="150.69999999999999"/>
    <x v="216"/>
    <m/>
    <x v="0"/>
  </r>
  <r>
    <x v="0"/>
    <x v="7"/>
    <x v="12"/>
    <s v="December,2020"/>
    <n v="144.6"/>
    <n v="188.5"/>
    <n v="173.4"/>
    <n v="154"/>
    <n v="150"/>
    <n v="145.9"/>
    <n v="225.2"/>
    <n v="159.5"/>
    <n v="114.4"/>
    <n v="163.5"/>
    <n v="153.4"/>
    <n v="163.6"/>
    <x v="203"/>
    <n v="183.6"/>
    <n v="157"/>
    <n v="151.6"/>
    <n v="156.30000000000001"/>
    <s v="NA"/>
    <x v="201"/>
    <n v="153.4"/>
    <x v="230"/>
    <n v="146.4"/>
    <n v="153.9"/>
    <n v="162.9"/>
    <x v="212"/>
    <n v="155.19999999999999"/>
    <x v="217"/>
    <m/>
    <x v="0"/>
  </r>
  <r>
    <x v="1"/>
    <x v="7"/>
    <x v="12"/>
    <s v="December,2020"/>
    <n v="149"/>
    <n v="195.7"/>
    <n v="178.3"/>
    <n v="154.19999999999999"/>
    <n v="140.69999999999999"/>
    <n v="149.69999999999999"/>
    <n v="240.9"/>
    <n v="161.5"/>
    <n v="117.1"/>
    <n v="161.9"/>
    <n v="143.30000000000001"/>
    <n v="166.1"/>
    <x v="201"/>
    <n v="190.2"/>
    <n v="151.9"/>
    <n v="136.69999999999999"/>
    <n v="149.6"/>
    <n v="158.4"/>
    <x v="202"/>
    <n v="145.5"/>
    <x v="231"/>
    <n v="135.5"/>
    <n v="144.30000000000001"/>
    <n v="156.9"/>
    <x v="210"/>
    <n v="146.9"/>
    <x v="218"/>
    <m/>
    <x v="0"/>
  </r>
  <r>
    <x v="2"/>
    <x v="7"/>
    <x v="12"/>
    <s v="December,2020"/>
    <n v="146"/>
    <n v="191"/>
    <n v="175.3"/>
    <n v="154.1"/>
    <n v="146.6"/>
    <n v="147.69999999999999"/>
    <n v="230.5"/>
    <n v="160.19999999999999"/>
    <n v="115.3"/>
    <n v="163"/>
    <n v="149.19999999999999"/>
    <n v="164.8"/>
    <x v="204"/>
    <n v="185.4"/>
    <n v="155"/>
    <n v="145.4"/>
    <n v="153.6"/>
    <n v="158.4"/>
    <x v="180"/>
    <n v="149.69999999999999"/>
    <x v="232"/>
    <n v="140.69999999999999"/>
    <n v="148.5"/>
    <n v="159.4"/>
    <x v="213"/>
    <n v="151.19999999999999"/>
    <x v="219"/>
    <m/>
    <x v="0"/>
  </r>
  <r>
    <x v="0"/>
    <x v="8"/>
    <x v="0"/>
    <s v="January,2021"/>
    <n v="143.4"/>
    <n v="187.5"/>
    <n v="173.4"/>
    <n v="154"/>
    <n v="154.80000000000001"/>
    <n v="147"/>
    <n v="187.8"/>
    <n v="159.5"/>
    <n v="113.8"/>
    <n v="164.5"/>
    <n v="156.1"/>
    <n v="164.3"/>
    <x v="197"/>
    <n v="184.6"/>
    <n v="157.5"/>
    <n v="152.4"/>
    <n v="156.80000000000001"/>
    <s v="NA"/>
    <x v="203"/>
    <n v="153.9"/>
    <x v="233"/>
    <n v="147.5"/>
    <n v="155.1"/>
    <n v="163.5"/>
    <x v="207"/>
    <n v="155.9"/>
    <x v="220"/>
    <m/>
    <x v="0"/>
  </r>
  <r>
    <x v="1"/>
    <x v="8"/>
    <x v="0"/>
    <s v="January,2021"/>
    <n v="148"/>
    <n v="194.8"/>
    <n v="178.4"/>
    <n v="154.4"/>
    <n v="144.1"/>
    <n v="152.6"/>
    <n v="206.8"/>
    <n v="162.1"/>
    <n v="116.3"/>
    <n v="163"/>
    <n v="145.9"/>
    <n v="167.2"/>
    <x v="200"/>
    <n v="191.8"/>
    <n v="152.5"/>
    <n v="137.30000000000001"/>
    <n v="150.19999999999999"/>
    <n v="157.69999999999999"/>
    <x v="196"/>
    <n v="145.69999999999999"/>
    <x v="234"/>
    <n v="136.9"/>
    <n v="145.4"/>
    <n v="156.1"/>
    <x v="214"/>
    <n v="147.6"/>
    <x v="221"/>
    <m/>
    <x v="0"/>
  </r>
  <r>
    <x v="2"/>
    <x v="8"/>
    <x v="0"/>
    <s v="January,2021"/>
    <n v="144.9"/>
    <n v="190.1"/>
    <n v="175.3"/>
    <n v="154.1"/>
    <n v="150.9"/>
    <n v="149.6"/>
    <n v="194.2"/>
    <n v="160.4"/>
    <n v="114.6"/>
    <n v="164"/>
    <n v="151.80000000000001"/>
    <n v="165.6"/>
    <x v="205"/>
    <n v="186.5"/>
    <n v="155.5"/>
    <n v="146.1"/>
    <n v="154.19999999999999"/>
    <n v="157.69999999999999"/>
    <x v="204"/>
    <n v="150"/>
    <x v="235"/>
    <n v="141.9"/>
    <n v="149.6"/>
    <n v="159.19999999999999"/>
    <x v="215"/>
    <n v="151.9"/>
    <x v="222"/>
    <m/>
    <x v="0"/>
  </r>
  <r>
    <x v="0"/>
    <x v="8"/>
    <x v="1"/>
    <s v="February,2021"/>
    <n v="142.80000000000001"/>
    <n v="184"/>
    <n v="168"/>
    <n v="154.4"/>
    <n v="163"/>
    <n v="147.80000000000001"/>
    <n v="149.69999999999999"/>
    <n v="158.30000000000001"/>
    <n v="111.8"/>
    <n v="165"/>
    <n v="160"/>
    <n v="165.8"/>
    <x v="206"/>
    <n v="186.5"/>
    <n v="159.1"/>
    <n v="153.9"/>
    <n v="158.4"/>
    <s v="NA"/>
    <x v="205"/>
    <n v="154.80000000000001"/>
    <x v="236"/>
    <n v="150.19999999999999"/>
    <n v="157"/>
    <n v="163.6"/>
    <x v="202"/>
    <n v="157.19999999999999"/>
    <x v="215"/>
    <m/>
    <x v="0"/>
  </r>
  <r>
    <x v="1"/>
    <x v="8"/>
    <x v="1"/>
    <s v="February,2021"/>
    <n v="147.6"/>
    <n v="191.2"/>
    <n v="169.9"/>
    <n v="155.1"/>
    <n v="151.4"/>
    <n v="154"/>
    <n v="180.2"/>
    <n v="159.80000000000001"/>
    <n v="114.9"/>
    <n v="162.5"/>
    <n v="149.19999999999999"/>
    <n v="169.4"/>
    <x v="207"/>
    <n v="193.3"/>
    <n v="154.19999999999999"/>
    <n v="138.19999999999999"/>
    <n v="151.80000000000001"/>
    <n v="159.80000000000001"/>
    <x v="206"/>
    <n v="146.5"/>
    <x v="226"/>
    <n v="140.5"/>
    <n v="147.30000000000001"/>
    <n v="156.6"/>
    <x v="216"/>
    <n v="149.30000000000001"/>
    <x v="223"/>
    <m/>
    <x v="0"/>
  </r>
  <r>
    <x v="2"/>
    <x v="8"/>
    <x v="1"/>
    <s v="February,2021"/>
    <n v="144.30000000000001"/>
    <n v="186.5"/>
    <n v="168.7"/>
    <n v="154.69999999999999"/>
    <n v="158.69999999999999"/>
    <n v="150.69999999999999"/>
    <n v="160"/>
    <n v="158.80000000000001"/>
    <n v="112.8"/>
    <n v="164.2"/>
    <n v="155.5"/>
    <n v="167.5"/>
    <x v="208"/>
    <n v="188.3"/>
    <n v="157.19999999999999"/>
    <n v="147.4"/>
    <n v="155.80000000000001"/>
    <n v="159.80000000000001"/>
    <x v="207"/>
    <n v="150.9"/>
    <x v="237"/>
    <n v="145.1"/>
    <n v="151.5"/>
    <n v="159.5"/>
    <x v="217"/>
    <n v="153.4"/>
    <x v="224"/>
    <m/>
    <x v="0"/>
  </r>
  <r>
    <x v="0"/>
    <x v="8"/>
    <x v="2"/>
    <s v="March,2021"/>
    <n v="142.5"/>
    <n v="189.4"/>
    <n v="163.19999999999999"/>
    <n v="154.5"/>
    <n v="168.2"/>
    <n v="150.5"/>
    <n v="141"/>
    <n v="159.19999999999999"/>
    <n v="111.7"/>
    <n v="164"/>
    <n v="160.6"/>
    <n v="166.4"/>
    <x v="209"/>
    <n v="186.1"/>
    <n v="159.6"/>
    <n v="154.4"/>
    <n v="158.9"/>
    <s v="NA"/>
    <x v="208"/>
    <n v="154.80000000000001"/>
    <x v="238"/>
    <n v="151.30000000000001"/>
    <n v="157.80000000000001"/>
    <n v="163.80000000000001"/>
    <x v="218"/>
    <n v="157.30000000000001"/>
    <x v="215"/>
    <m/>
    <x v="0"/>
  </r>
  <r>
    <x v="1"/>
    <x v="8"/>
    <x v="2"/>
    <s v="March,2021"/>
    <n v="147.5"/>
    <n v="197.5"/>
    <n v="164.7"/>
    <n v="155.6"/>
    <n v="156.4"/>
    <n v="157.30000000000001"/>
    <n v="166.1"/>
    <n v="161.1"/>
    <n v="114.3"/>
    <n v="162.6"/>
    <n v="150.69999999999999"/>
    <n v="170.3"/>
    <x v="210"/>
    <n v="193.5"/>
    <n v="155.1"/>
    <n v="138.69999999999999"/>
    <n v="152.6"/>
    <n v="159.9"/>
    <x v="209"/>
    <n v="147.19999999999999"/>
    <x v="239"/>
    <n v="141.69999999999999"/>
    <n v="148.6"/>
    <n v="157.6"/>
    <x v="219"/>
    <n v="150"/>
    <x v="218"/>
    <m/>
    <x v="0"/>
  </r>
  <r>
    <x v="2"/>
    <x v="8"/>
    <x v="2"/>
    <s v="March,2021"/>
    <n v="144.1"/>
    <n v="192.2"/>
    <n v="163.80000000000001"/>
    <n v="154.9"/>
    <n v="163.9"/>
    <n v="153.69999999999999"/>
    <n v="149.5"/>
    <n v="159.80000000000001"/>
    <n v="112.6"/>
    <n v="163.5"/>
    <n v="156.5"/>
    <n v="168.2"/>
    <x v="211"/>
    <n v="188.1"/>
    <n v="157.80000000000001"/>
    <n v="147.9"/>
    <n v="156.4"/>
    <n v="159.9"/>
    <x v="210"/>
    <n v="151.19999999999999"/>
    <x v="240"/>
    <n v="146.19999999999999"/>
    <n v="152.6"/>
    <n v="160.19999999999999"/>
    <x v="220"/>
    <n v="153.80000000000001"/>
    <x v="225"/>
    <m/>
    <x v="0"/>
  </r>
  <r>
    <x v="0"/>
    <x v="8"/>
    <x v="3"/>
    <s v="April,2021"/>
    <n v="142.69999999999999"/>
    <n v="195.5"/>
    <n v="163.4"/>
    <n v="155"/>
    <n v="175.2"/>
    <n v="160.6"/>
    <n v="135.1"/>
    <n v="161.1"/>
    <n v="112.2"/>
    <n v="164.4"/>
    <n v="161.9"/>
    <n v="166.8"/>
    <x v="212"/>
    <n v="186.8"/>
    <n v="160.69999999999999"/>
    <n v="155.1"/>
    <n v="159.9"/>
    <s v="NA"/>
    <x v="208"/>
    <n v="155.5"/>
    <x v="241"/>
    <n v="151.69999999999999"/>
    <n v="158.6"/>
    <n v="164.1"/>
    <x v="221"/>
    <n v="158"/>
    <x v="226"/>
    <m/>
    <x v="0"/>
  </r>
  <r>
    <x v="1"/>
    <x v="8"/>
    <x v="3"/>
    <s v="April,2021"/>
    <n v="147.6"/>
    <n v="202.5"/>
    <n v="166.4"/>
    <n v="156"/>
    <n v="161.4"/>
    <n v="168.8"/>
    <n v="161.6"/>
    <n v="162.80000000000001"/>
    <n v="114.8"/>
    <n v="162.80000000000001"/>
    <n v="151.5"/>
    <n v="171.4"/>
    <x v="213"/>
    <n v="194.4"/>
    <n v="155.9"/>
    <n v="139.30000000000001"/>
    <n v="153.4"/>
    <n v="161.4"/>
    <x v="211"/>
    <n v="147.6"/>
    <x v="242"/>
    <n v="142.1"/>
    <n v="149.1"/>
    <n v="157.6"/>
    <x v="212"/>
    <n v="150.5"/>
    <x v="227"/>
    <m/>
    <x v="0"/>
  </r>
  <r>
    <x v="2"/>
    <x v="8"/>
    <x v="3"/>
    <s v="April,2021"/>
    <n v="144.30000000000001"/>
    <n v="198"/>
    <n v="164.6"/>
    <n v="155.4"/>
    <n v="170.1"/>
    <n v="164.4"/>
    <n v="144.1"/>
    <n v="161.69999999999999"/>
    <n v="113.1"/>
    <n v="163.9"/>
    <n v="157.6"/>
    <n v="168.9"/>
    <x v="196"/>
    <n v="188.8"/>
    <n v="158.80000000000001"/>
    <n v="148.5"/>
    <n v="157.30000000000001"/>
    <n v="161.4"/>
    <x v="212"/>
    <n v="151.80000000000001"/>
    <x v="243"/>
    <n v="146.6"/>
    <n v="153.19999999999999"/>
    <n v="160.30000000000001"/>
    <x v="222"/>
    <n v="154.4"/>
    <x v="228"/>
    <m/>
    <x v="0"/>
  </r>
  <r>
    <x v="0"/>
    <x v="8"/>
    <x v="4"/>
    <s v="May,2021"/>
    <n v="145.1"/>
    <n v="198.5"/>
    <n v="168.6"/>
    <n v="155.80000000000001"/>
    <n v="184.4"/>
    <n v="162.30000000000001"/>
    <n v="138.4"/>
    <n v="165.1"/>
    <n v="114.3"/>
    <n v="169.7"/>
    <n v="164.6"/>
    <n v="169.8"/>
    <x v="214"/>
    <n v="189.6"/>
    <n v="165.3"/>
    <n v="160.6"/>
    <n v="164.5"/>
    <s v="NA"/>
    <x v="213"/>
    <n v="158.80000000000001"/>
    <x v="244"/>
    <n v="153.19999999999999"/>
    <n v="160"/>
    <n v="167.6"/>
    <x v="223"/>
    <n v="161.1"/>
    <x v="229"/>
    <m/>
    <x v="0"/>
  </r>
  <r>
    <x v="1"/>
    <x v="8"/>
    <x v="4"/>
    <s v="May,2021"/>
    <n v="148.80000000000001"/>
    <n v="204.3"/>
    <n v="173"/>
    <n v="156.5"/>
    <n v="168.8"/>
    <n v="172.5"/>
    <n v="166.5"/>
    <n v="165.9"/>
    <n v="115.9"/>
    <n v="165.2"/>
    <n v="152"/>
    <n v="171.1"/>
    <x v="215"/>
    <n v="198.2"/>
    <n v="156.5"/>
    <n v="140.19999999999999"/>
    <n v="154.1"/>
    <n v="161.6"/>
    <x v="210"/>
    <n v="150.1"/>
    <x v="227"/>
    <n v="145"/>
    <n v="152.6"/>
    <n v="156.6"/>
    <x v="224"/>
    <n v="152.30000000000001"/>
    <x v="230"/>
    <m/>
    <x v="0"/>
  </r>
  <r>
    <x v="2"/>
    <x v="8"/>
    <x v="4"/>
    <s v="May,2021"/>
    <n v="146.30000000000001"/>
    <n v="200.5"/>
    <n v="170.3"/>
    <n v="156.1"/>
    <n v="178.7"/>
    <n v="167.1"/>
    <n v="147.9"/>
    <n v="165.4"/>
    <n v="114.8"/>
    <n v="168.2"/>
    <n v="159.30000000000001"/>
    <n v="170.4"/>
    <x v="216"/>
    <n v="191.9"/>
    <n v="161.80000000000001"/>
    <n v="152.1"/>
    <n v="160.4"/>
    <n v="161.6"/>
    <x v="214"/>
    <n v="154.69999999999999"/>
    <x v="245"/>
    <n v="148.9"/>
    <n v="155.80000000000001"/>
    <n v="161.19999999999999"/>
    <x v="225"/>
    <n v="156.80000000000001"/>
    <x v="231"/>
    <m/>
    <x v="0"/>
  </r>
  <r>
    <x v="0"/>
    <x v="8"/>
    <x v="5"/>
    <s v="June,2021"/>
    <n v="145.6"/>
    <n v="200.1"/>
    <n v="179.3"/>
    <n v="156.1"/>
    <n v="190.4"/>
    <n v="158.6"/>
    <n v="144.69999999999999"/>
    <n v="165.5"/>
    <n v="114.6"/>
    <n v="170"/>
    <n v="165.5"/>
    <n v="171.7"/>
    <x v="217"/>
    <n v="189.1"/>
    <n v="165.3"/>
    <n v="159.9"/>
    <n v="164.6"/>
    <s v="NA"/>
    <x v="215"/>
    <n v="159.19999999999999"/>
    <x v="246"/>
    <n v="154.19999999999999"/>
    <n v="160.4"/>
    <n v="166.8"/>
    <x v="226"/>
    <n v="161.5"/>
    <x v="232"/>
    <m/>
    <x v="0"/>
  </r>
  <r>
    <x v="1"/>
    <x v="8"/>
    <x v="5"/>
    <s v="June,2021"/>
    <n v="149.19999999999999"/>
    <n v="205.5"/>
    <n v="182.8"/>
    <n v="156.5"/>
    <n v="172.2"/>
    <n v="171.5"/>
    <n v="176.2"/>
    <n v="166.9"/>
    <n v="116.1"/>
    <n v="165.5"/>
    <n v="152.30000000000001"/>
    <n v="173.3"/>
    <x v="218"/>
    <n v="195.6"/>
    <n v="157.30000000000001"/>
    <n v="140.5"/>
    <n v="154.80000000000001"/>
    <n v="160.5"/>
    <x v="216"/>
    <n v="149.80000000000001"/>
    <x v="247"/>
    <n v="147.5"/>
    <n v="150.69999999999999"/>
    <n v="158.1"/>
    <x v="227"/>
    <n v="153.4"/>
    <x v="231"/>
    <m/>
    <x v="0"/>
  </r>
  <r>
    <x v="2"/>
    <x v="8"/>
    <x v="5"/>
    <s v="June,2021"/>
    <n v="146.69999999999999"/>
    <n v="202"/>
    <n v="180.7"/>
    <n v="156.19999999999999"/>
    <n v="183.7"/>
    <n v="164.6"/>
    <n v="155.4"/>
    <n v="166"/>
    <n v="115.1"/>
    <n v="168.5"/>
    <n v="160"/>
    <n v="172.4"/>
    <x v="219"/>
    <n v="190.8"/>
    <n v="162.19999999999999"/>
    <n v="151.80000000000001"/>
    <n v="160.69999999999999"/>
    <n v="160.5"/>
    <x v="217"/>
    <n v="154.80000000000001"/>
    <x v="248"/>
    <n v="150.69999999999999"/>
    <n v="154.9"/>
    <n v="161.69999999999999"/>
    <x v="228"/>
    <n v="157.6"/>
    <x v="233"/>
    <m/>
    <x v="0"/>
  </r>
  <r>
    <x v="0"/>
    <x v="8"/>
    <x v="6"/>
    <s v="July,2021"/>
    <n v="145.1"/>
    <n v="204.5"/>
    <n v="180.4"/>
    <n v="157.1"/>
    <n v="188.7"/>
    <n v="157.69999999999999"/>
    <n v="152.80000000000001"/>
    <n v="163.6"/>
    <n v="113.9"/>
    <n v="169.7"/>
    <n v="166.2"/>
    <n v="171"/>
    <x v="220"/>
    <n v="189.7"/>
    <n v="166"/>
    <n v="161.1"/>
    <n v="165.3"/>
    <s v="NA"/>
    <x v="218"/>
    <n v="160.30000000000001"/>
    <x v="249"/>
    <n v="157.1"/>
    <n v="160.69999999999999"/>
    <n v="167.2"/>
    <x v="229"/>
    <n v="162.80000000000001"/>
    <x v="234"/>
    <m/>
    <x v="0"/>
  </r>
  <r>
    <x v="1"/>
    <x v="8"/>
    <x v="6"/>
    <s v="July,2021"/>
    <n v="149.1"/>
    <n v="210.9"/>
    <n v="185"/>
    <n v="158.19999999999999"/>
    <n v="170.6"/>
    <n v="170.9"/>
    <n v="186.4"/>
    <n v="164.7"/>
    <n v="115.7"/>
    <n v="165.5"/>
    <n v="153.4"/>
    <n v="173.5"/>
    <x v="221"/>
    <n v="195.5"/>
    <n v="157.9"/>
    <n v="141.9"/>
    <n v="155.5"/>
    <n v="161.5"/>
    <x v="219"/>
    <n v="150.69999999999999"/>
    <x v="250"/>
    <n v="149.5"/>
    <n v="151.19999999999999"/>
    <n v="160.30000000000001"/>
    <x v="230"/>
    <n v="155"/>
    <x v="235"/>
    <m/>
    <x v="0"/>
  </r>
  <r>
    <x v="2"/>
    <x v="8"/>
    <x v="6"/>
    <s v="July,2021"/>
    <n v="146.4"/>
    <n v="206.8"/>
    <n v="182.2"/>
    <n v="157.5"/>
    <n v="182.1"/>
    <n v="163.9"/>
    <n v="164.2"/>
    <n v="164"/>
    <n v="114.5"/>
    <n v="168.3"/>
    <n v="160.9"/>
    <n v="172.2"/>
    <x v="222"/>
    <n v="191.2"/>
    <n v="162.80000000000001"/>
    <n v="153.1"/>
    <n v="161.4"/>
    <n v="161.5"/>
    <x v="220"/>
    <n v="155.80000000000001"/>
    <x v="251"/>
    <n v="153.1"/>
    <n v="155.30000000000001"/>
    <n v="163.19999999999999"/>
    <x v="231"/>
    <n v="159"/>
    <x v="236"/>
    <m/>
    <x v="0"/>
  </r>
  <r>
    <x v="0"/>
    <x v="8"/>
    <x v="7"/>
    <s v="August,2021"/>
    <n v="144.9"/>
    <n v="202.3"/>
    <n v="176.5"/>
    <n v="157.5"/>
    <n v="190.9"/>
    <n v="155.69999999999999"/>
    <n v="153.9"/>
    <n v="162.80000000000001"/>
    <n v="115.2"/>
    <n v="169.8"/>
    <n v="167.6"/>
    <n v="171.9"/>
    <x v="223"/>
    <n v="190.2"/>
    <n v="167"/>
    <n v="162.6"/>
    <n v="166.3"/>
    <s v="NA"/>
    <x v="221"/>
    <n v="160.9"/>
    <x v="252"/>
    <n v="157.69999999999999"/>
    <n v="161.1"/>
    <n v="167.5"/>
    <x v="232"/>
    <n v="163.30000000000001"/>
    <x v="237"/>
    <m/>
    <x v="0"/>
  </r>
  <r>
    <x v="1"/>
    <x v="8"/>
    <x v="7"/>
    <s v="August,2021"/>
    <n v="149.30000000000001"/>
    <n v="207.4"/>
    <n v="174.1"/>
    <n v="159.19999999999999"/>
    <n v="175"/>
    <n v="161.30000000000001"/>
    <n v="183.3"/>
    <n v="164.5"/>
    <n v="120.4"/>
    <n v="166.2"/>
    <n v="154.80000000000001"/>
    <n v="175.1"/>
    <x v="224"/>
    <n v="196.5"/>
    <n v="159.80000000000001"/>
    <n v="143.6"/>
    <n v="157.30000000000001"/>
    <n v="162.1"/>
    <x v="220"/>
    <n v="153.19999999999999"/>
    <x v="253"/>
    <n v="150.4"/>
    <n v="153.69999999999999"/>
    <n v="160.4"/>
    <x v="230"/>
    <n v="156"/>
    <x v="238"/>
    <m/>
    <x v="0"/>
  </r>
  <r>
    <x v="2"/>
    <x v="8"/>
    <x v="7"/>
    <s v="August,2021"/>
    <n v="146.6"/>
    <n v="204"/>
    <n v="172.8"/>
    <n v="158.4"/>
    <n v="188"/>
    <n v="156.80000000000001"/>
    <n v="162.19999999999999"/>
    <n v="164.1"/>
    <n v="119.7"/>
    <n v="168.8"/>
    <n v="162.69999999999999"/>
    <n v="173.9"/>
    <x v="222"/>
    <n v="192.1"/>
    <n v="164.5"/>
    <n v="155.30000000000001"/>
    <n v="163.19999999999999"/>
    <n v="162.1"/>
    <x v="222"/>
    <n v="157.5"/>
    <x v="254"/>
    <n v="154"/>
    <n v="157.6"/>
    <n v="163.80000000000001"/>
    <x v="233"/>
    <n v="160"/>
    <x v="234"/>
    <m/>
    <x v="0"/>
  </r>
  <r>
    <x v="0"/>
    <x v="8"/>
    <x v="8"/>
    <s v="September,2021"/>
    <n v="145.4"/>
    <n v="202.1"/>
    <n v="172"/>
    <n v="158"/>
    <n v="195.5"/>
    <n v="152.69999999999999"/>
    <n v="151.4"/>
    <n v="163.9"/>
    <n v="119.3"/>
    <n v="170.1"/>
    <n v="168.3"/>
    <n v="172.8"/>
    <x v="225"/>
    <n v="190.5"/>
    <n v="167.7"/>
    <n v="163.6"/>
    <n v="167.1"/>
    <s v="NA"/>
    <x v="223"/>
    <n v="161.30000000000001"/>
    <x v="255"/>
    <n v="157.80000000000001"/>
    <n v="162.69999999999999"/>
    <n v="168.5"/>
    <x v="234"/>
    <n v="163.80000000000001"/>
    <x v="239"/>
    <m/>
    <x v="0"/>
  </r>
  <r>
    <x v="1"/>
    <x v="8"/>
    <x v="8"/>
    <s v="September,2021"/>
    <n v="149.30000000000001"/>
    <n v="207.4"/>
    <n v="174.1"/>
    <n v="159.1"/>
    <n v="175"/>
    <n v="161.19999999999999"/>
    <n v="183.5"/>
    <n v="164.5"/>
    <n v="120.4"/>
    <n v="166.2"/>
    <n v="154.80000000000001"/>
    <n v="175.1"/>
    <x v="224"/>
    <n v="196.5"/>
    <n v="159.80000000000001"/>
    <n v="143.6"/>
    <n v="157.4"/>
    <n v="162.1"/>
    <x v="224"/>
    <n v="153.30000000000001"/>
    <x v="253"/>
    <n v="150.5"/>
    <n v="153.9"/>
    <n v="160.30000000000001"/>
    <x v="230"/>
    <n v="156"/>
    <x v="238"/>
    <m/>
    <x v="0"/>
  </r>
  <r>
    <x v="2"/>
    <x v="8"/>
    <x v="8"/>
    <s v="September,2021"/>
    <n v="146.6"/>
    <n v="204"/>
    <n v="172.8"/>
    <n v="158.4"/>
    <n v="188"/>
    <n v="156.69999999999999"/>
    <n v="162.30000000000001"/>
    <n v="164.1"/>
    <n v="119.7"/>
    <n v="168.8"/>
    <n v="162.69999999999999"/>
    <n v="173.9"/>
    <x v="222"/>
    <n v="192.1"/>
    <n v="164.6"/>
    <n v="155.30000000000001"/>
    <n v="163.30000000000001"/>
    <n v="162.1"/>
    <x v="222"/>
    <n v="157.5"/>
    <x v="254"/>
    <n v="154"/>
    <n v="157.69999999999999"/>
    <n v="163.69999999999999"/>
    <x v="233"/>
    <n v="160"/>
    <x v="234"/>
    <m/>
    <x v="0"/>
  </r>
  <r>
    <x v="0"/>
    <x v="8"/>
    <x v="9"/>
    <s v="October,2021"/>
    <n v="146.1"/>
    <n v="202.5"/>
    <n v="170.1"/>
    <n v="158.4"/>
    <n v="198.8"/>
    <n v="152.6"/>
    <n v="170.4"/>
    <n v="165.2"/>
    <n v="121.6"/>
    <n v="170.6"/>
    <n v="168.8"/>
    <n v="173.6"/>
    <x v="226"/>
    <n v="191.2"/>
    <n v="168.9"/>
    <n v="164.8"/>
    <n v="168.3"/>
    <s v="NA"/>
    <x v="225"/>
    <n v="162"/>
    <x v="256"/>
    <n v="159.5"/>
    <n v="163.19999999999999"/>
    <n v="169"/>
    <x v="235"/>
    <n v="164.7"/>
    <x v="240"/>
    <m/>
    <x v="0"/>
  </r>
  <r>
    <x v="1"/>
    <x v="8"/>
    <x v="9"/>
    <s v="October,2021"/>
    <n v="150.1"/>
    <n v="208.4"/>
    <n v="173"/>
    <n v="159.19999999999999"/>
    <n v="176.6"/>
    <n v="159.30000000000001"/>
    <n v="214.4"/>
    <n v="165.3"/>
    <n v="122.5"/>
    <n v="166.8"/>
    <n v="155.4"/>
    <n v="175.9"/>
    <x v="227"/>
    <n v="197"/>
    <n v="160.80000000000001"/>
    <n v="144.4"/>
    <n v="158.30000000000001"/>
    <n v="163.6"/>
    <x v="226"/>
    <n v="154.30000000000001"/>
    <x v="257"/>
    <n v="152.19999999999999"/>
    <n v="155.1"/>
    <n v="160.30000000000001"/>
    <x v="232"/>
    <n v="157"/>
    <x v="241"/>
    <m/>
    <x v="0"/>
  </r>
  <r>
    <x v="2"/>
    <x v="8"/>
    <x v="9"/>
    <s v="October,2021"/>
    <n v="147.4"/>
    <n v="204.6"/>
    <n v="171.2"/>
    <n v="158.69999999999999"/>
    <n v="190.6"/>
    <n v="155.69999999999999"/>
    <n v="185.3"/>
    <n v="165.2"/>
    <n v="121.9"/>
    <n v="169.3"/>
    <n v="163.19999999999999"/>
    <n v="174.7"/>
    <x v="228"/>
    <n v="192.7"/>
    <n v="165.7"/>
    <n v="156.30000000000001"/>
    <n v="164.3"/>
    <n v="163.6"/>
    <x v="227"/>
    <n v="158.4"/>
    <x v="244"/>
    <n v="155.69999999999999"/>
    <n v="158.6"/>
    <n v="163.9"/>
    <x v="236"/>
    <n v="161"/>
    <x v="242"/>
    <m/>
    <x v="0"/>
  </r>
  <r>
    <x v="0"/>
    <x v="8"/>
    <x v="11"/>
    <s v="November,2021"/>
    <n v="146.9"/>
    <n v="199.8"/>
    <n v="171.5"/>
    <n v="159.1"/>
    <n v="198.4"/>
    <n v="153.19999999999999"/>
    <n v="183.9"/>
    <n v="165.4"/>
    <n v="122.1"/>
    <n v="170.8"/>
    <n v="169.1"/>
    <n v="174.3"/>
    <x v="229"/>
    <n v="191.4"/>
    <n v="170.4"/>
    <n v="166"/>
    <n v="169.8"/>
    <s v="NA"/>
    <x v="228"/>
    <n v="162.9"/>
    <x v="258"/>
    <n v="158.9"/>
    <n v="163.80000000000001"/>
    <n v="169.3"/>
    <x v="237"/>
    <n v="165.2"/>
    <x v="243"/>
    <m/>
    <x v="0"/>
  </r>
  <r>
    <x v="1"/>
    <x v="8"/>
    <x v="11"/>
    <s v="November,2021"/>
    <n v="151"/>
    <n v="204.9"/>
    <n v="175.4"/>
    <n v="159.6"/>
    <n v="175.8"/>
    <n v="160.30000000000001"/>
    <n v="229.1"/>
    <n v="165.1"/>
    <n v="123.1"/>
    <n v="167.2"/>
    <n v="156.1"/>
    <n v="176.8"/>
    <x v="230"/>
    <n v="197"/>
    <n v="162.30000000000001"/>
    <n v="145.30000000000001"/>
    <n v="159.69999999999999"/>
    <n v="164.2"/>
    <x v="229"/>
    <n v="155.19999999999999"/>
    <x v="259"/>
    <n v="151.19999999999999"/>
    <n v="156.69999999999999"/>
    <n v="160.80000000000001"/>
    <x v="238"/>
    <n v="157.30000000000001"/>
    <x v="244"/>
    <m/>
    <x v="0"/>
  </r>
  <r>
    <x v="2"/>
    <x v="8"/>
    <x v="11"/>
    <s v="November,2021"/>
    <n v="148.19999999999999"/>
    <n v="201.6"/>
    <n v="173"/>
    <n v="159.30000000000001"/>
    <n v="190.1"/>
    <n v="156.5"/>
    <n v="199.2"/>
    <n v="165.3"/>
    <n v="122.4"/>
    <n v="169.6"/>
    <n v="163.69999999999999"/>
    <n v="175.5"/>
    <x v="231"/>
    <n v="192.9"/>
    <n v="167.2"/>
    <n v="157.4"/>
    <n v="165.8"/>
    <n v="164.2"/>
    <x v="230"/>
    <n v="159.30000000000001"/>
    <x v="260"/>
    <n v="154.80000000000001"/>
    <n v="159.80000000000001"/>
    <n v="164.3"/>
    <x v="239"/>
    <n v="161.4"/>
    <x v="245"/>
    <m/>
    <x v="0"/>
  </r>
  <r>
    <x v="0"/>
    <x v="8"/>
    <x v="12"/>
    <s v="December,2021"/>
    <n v="147.4"/>
    <n v="197"/>
    <n v="176.5"/>
    <n v="159.80000000000001"/>
    <n v="195.8"/>
    <n v="152"/>
    <n v="172.3"/>
    <n v="164.5"/>
    <n v="120.6"/>
    <n v="171.7"/>
    <n v="169.7"/>
    <n v="175.1"/>
    <x v="232"/>
    <n v="190.8"/>
    <n v="171.8"/>
    <n v="167.3"/>
    <n v="171.2"/>
    <s v="NA"/>
    <x v="231"/>
    <n v="163.9"/>
    <x v="261"/>
    <n v="160.1"/>
    <n v="164.5"/>
    <n v="169.7"/>
    <x v="240"/>
    <n v="166"/>
    <x v="246"/>
    <m/>
    <x v="0"/>
  </r>
  <r>
    <x v="1"/>
    <x v="8"/>
    <x v="12"/>
    <s v="December,2021"/>
    <n v="151.6"/>
    <n v="202.2"/>
    <n v="180"/>
    <n v="160"/>
    <n v="173.5"/>
    <n v="158.30000000000001"/>
    <n v="219.5"/>
    <n v="164.2"/>
    <n v="121.9"/>
    <n v="168.2"/>
    <n v="156.5"/>
    <n v="178.2"/>
    <x v="233"/>
    <n v="196.8"/>
    <n v="163.30000000000001"/>
    <n v="146.69999999999999"/>
    <n v="160.69999999999999"/>
    <n v="163.4"/>
    <x v="213"/>
    <n v="156"/>
    <x v="262"/>
    <n v="151.80000000000001"/>
    <n v="157.6"/>
    <n v="160.6"/>
    <x v="237"/>
    <n v="157.80000000000001"/>
    <x v="247"/>
    <m/>
    <x v="0"/>
  </r>
  <r>
    <x v="2"/>
    <x v="8"/>
    <x v="12"/>
    <s v="December,2021"/>
    <n v="148.69999999999999"/>
    <n v="198.8"/>
    <n v="177.9"/>
    <n v="159.9"/>
    <n v="187.6"/>
    <n v="154.9"/>
    <n v="188.3"/>
    <n v="164.4"/>
    <n v="121"/>
    <n v="170.5"/>
    <n v="164.2"/>
    <n v="176.5"/>
    <x v="234"/>
    <n v="192.4"/>
    <n v="168.5"/>
    <n v="158.69999999999999"/>
    <n v="167"/>
    <n v="163.4"/>
    <x v="232"/>
    <n v="160.19999999999999"/>
    <x v="263"/>
    <n v="155.69999999999999"/>
    <n v="160.6"/>
    <n v="164.4"/>
    <x v="241"/>
    <n v="162"/>
    <x v="248"/>
    <m/>
    <x v="0"/>
  </r>
  <r>
    <x v="0"/>
    <x v="9"/>
    <x v="0"/>
    <s v="January,2022"/>
    <n v="148.30000000000001"/>
    <n v="196.9"/>
    <n v="178"/>
    <n v="160.5"/>
    <n v="192.6"/>
    <n v="151.19999999999999"/>
    <n v="159.19999999999999"/>
    <n v="164"/>
    <n v="119.3"/>
    <n v="173.3"/>
    <n v="169.8"/>
    <n v="175.8"/>
    <x v="235"/>
    <n v="190.7"/>
    <n v="173.2"/>
    <n v="169.3"/>
    <n v="172.7"/>
    <s v="NA"/>
    <x v="233"/>
    <n v="164.9"/>
    <x v="264"/>
    <n v="160.80000000000001"/>
    <n v="164.9"/>
    <n v="169.9"/>
    <x v="242"/>
    <n v="166.6"/>
    <x v="249"/>
    <m/>
    <x v="0"/>
  </r>
  <r>
    <x v="1"/>
    <x v="9"/>
    <x v="0"/>
    <s v="January,2022"/>
    <n v="152.19999999999999"/>
    <n v="202.1"/>
    <n v="180.1"/>
    <n v="160.4"/>
    <n v="171"/>
    <n v="156.5"/>
    <n v="203.6"/>
    <n v="163.80000000000001"/>
    <n v="121.3"/>
    <n v="169.8"/>
    <n v="156.6"/>
    <n v="179"/>
    <x v="236"/>
    <n v="196.4"/>
    <n v="164.7"/>
    <n v="148.5"/>
    <n v="162.19999999999999"/>
    <n v="164.5"/>
    <x v="229"/>
    <n v="156.80000000000001"/>
    <x v="265"/>
    <n v="152.69999999999999"/>
    <n v="158.4"/>
    <n v="161"/>
    <x v="240"/>
    <n v="158.6"/>
    <x v="250"/>
    <m/>
    <x v="0"/>
  </r>
  <r>
    <x v="2"/>
    <x v="9"/>
    <x v="0"/>
    <s v="January,2022"/>
    <n v="149.5"/>
    <n v="198.7"/>
    <n v="178.8"/>
    <n v="160.5"/>
    <n v="184.7"/>
    <n v="153.69999999999999"/>
    <n v="174.3"/>
    <n v="163.9"/>
    <n v="120"/>
    <n v="172.1"/>
    <n v="164.3"/>
    <n v="177.3"/>
    <x v="237"/>
    <n v="192.2"/>
    <n v="169.9"/>
    <n v="160.69999999999999"/>
    <n v="168.5"/>
    <n v="164.5"/>
    <x v="227"/>
    <n v="161.1"/>
    <x v="266"/>
    <n v="156.5"/>
    <n v="161.19999999999999"/>
    <n v="164.7"/>
    <x v="243"/>
    <n v="162.69999999999999"/>
    <x v="251"/>
    <m/>
    <x v="0"/>
  </r>
  <r>
    <x v="0"/>
    <x v="9"/>
    <x v="1"/>
    <s v="February,2022"/>
    <n v="148.80000000000001"/>
    <n v="198.1"/>
    <n v="175.5"/>
    <n v="160.69999999999999"/>
    <n v="192.6"/>
    <n v="151.4"/>
    <n v="155.19999999999999"/>
    <n v="163.9"/>
    <n v="118.1"/>
    <n v="175.4"/>
    <n v="170.5"/>
    <n v="176.3"/>
    <x v="238"/>
    <n v="191.5"/>
    <n v="174.1"/>
    <n v="171"/>
    <n v="173.7"/>
    <s v="NA"/>
    <x v="234"/>
    <n v="165.7"/>
    <x v="267"/>
    <n v="161.19999999999999"/>
    <n v="165.5"/>
    <n v="170.3"/>
    <x v="244"/>
    <n v="167.3"/>
    <x v="245"/>
    <m/>
    <x v="0"/>
  </r>
  <r>
    <x v="1"/>
    <x v="9"/>
    <x v="1"/>
    <s v="February,2022"/>
    <n v="152.5"/>
    <n v="205.2"/>
    <n v="176.4"/>
    <n v="160.6"/>
    <n v="171.5"/>
    <n v="156.4"/>
    <n v="198"/>
    <n v="163.19999999999999"/>
    <n v="120.6"/>
    <n v="172.2"/>
    <n v="156.69999999999999"/>
    <n v="180"/>
    <x v="239"/>
    <n v="196.5"/>
    <n v="165.7"/>
    <n v="150.4"/>
    <n v="163.4"/>
    <n v="165.5"/>
    <x v="235"/>
    <n v="157.4"/>
    <x v="268"/>
    <n v="153.1"/>
    <n v="159.5"/>
    <n v="162"/>
    <x v="245"/>
    <n v="159.4"/>
    <x v="242"/>
    <m/>
    <x v="0"/>
  </r>
  <r>
    <x v="2"/>
    <x v="9"/>
    <x v="1"/>
    <s v="February,2022"/>
    <n v="150"/>
    <n v="200.6"/>
    <n v="175.8"/>
    <n v="160.69999999999999"/>
    <n v="184.9"/>
    <n v="153.69999999999999"/>
    <n v="169.7"/>
    <n v="163.69999999999999"/>
    <n v="118.9"/>
    <n v="174.3"/>
    <n v="164.7"/>
    <n v="178"/>
    <x v="218"/>
    <n v="192.8"/>
    <n v="170.8"/>
    <n v="162.4"/>
    <n v="169.6"/>
    <n v="165.5"/>
    <x v="236"/>
    <n v="161.80000000000001"/>
    <x v="269"/>
    <n v="156.9"/>
    <n v="162.1"/>
    <n v="165.4"/>
    <x v="246"/>
    <n v="163.5"/>
    <x v="252"/>
    <m/>
    <x v="0"/>
  </r>
  <r>
    <x v="0"/>
    <x v="9"/>
    <x v="2"/>
    <s v="March,2022"/>
    <n v="150.19999999999999"/>
    <n v="208"/>
    <n v="167.9"/>
    <n v="162"/>
    <n v="203.1"/>
    <n v="155.9"/>
    <n v="155.80000000000001"/>
    <n v="164.2"/>
    <n v="118.1"/>
    <n v="178.7"/>
    <n v="171.2"/>
    <n v="177.4"/>
    <x v="240"/>
    <n v="192.3"/>
    <n v="175.4"/>
    <n v="173.2"/>
    <n v="175.1"/>
    <s v="NA"/>
    <x v="237"/>
    <n v="166.5"/>
    <x v="270"/>
    <n v="162"/>
    <n v="166.6"/>
    <n v="170.6"/>
    <x v="247"/>
    <n v="168.3"/>
    <x v="253"/>
    <m/>
    <x v="0"/>
  </r>
  <r>
    <x v="1"/>
    <x v="9"/>
    <x v="2"/>
    <s v="March,2022"/>
    <n v="153.69999999999999"/>
    <n v="215.8"/>
    <n v="167.7"/>
    <n v="162.6"/>
    <n v="180"/>
    <n v="159.6"/>
    <n v="188.4"/>
    <n v="163.4"/>
    <n v="120.3"/>
    <n v="174.7"/>
    <n v="157.1"/>
    <n v="181.5"/>
    <x v="227"/>
    <n v="197.5"/>
    <n v="167.1"/>
    <n v="152.6"/>
    <n v="164.9"/>
    <n v="165.3"/>
    <x v="238"/>
    <n v="158.6"/>
    <x v="271"/>
    <n v="154.19999999999999"/>
    <n v="160.80000000000001"/>
    <n v="162.69999999999999"/>
    <x v="248"/>
    <n v="160.6"/>
    <x v="254"/>
    <m/>
    <x v="0"/>
  </r>
  <r>
    <x v="2"/>
    <x v="9"/>
    <x v="2"/>
    <s v="March,2022"/>
    <n v="151.30000000000001"/>
    <n v="210.7"/>
    <n v="167.8"/>
    <n v="162.19999999999999"/>
    <n v="194.6"/>
    <n v="157.6"/>
    <n v="166.9"/>
    <n v="163.9"/>
    <n v="118.8"/>
    <n v="177.4"/>
    <n v="165.3"/>
    <n v="179.3"/>
    <x v="241"/>
    <n v="193.7"/>
    <n v="172.1"/>
    <n v="164.6"/>
    <n v="171.1"/>
    <n v="165.3"/>
    <x v="239"/>
    <n v="162.80000000000001"/>
    <x v="272"/>
    <n v="157.9"/>
    <n v="163.30000000000001"/>
    <n v="166"/>
    <x v="249"/>
    <n v="164.6"/>
    <x v="255"/>
    <m/>
    <x v="0"/>
  </r>
  <r>
    <x v="0"/>
    <x v="9"/>
    <x v="3"/>
    <s v="April,2022"/>
    <n v="151.80000000000001"/>
    <n v="209.7"/>
    <n v="164.5"/>
    <n v="163.80000000000001"/>
    <n v="207.4"/>
    <n v="169.7"/>
    <n v="153.6"/>
    <n v="165.1"/>
    <n v="118.2"/>
    <n v="182.9"/>
    <n v="172.4"/>
    <n v="178.9"/>
    <x v="242"/>
    <n v="192.8"/>
    <n v="177.5"/>
    <n v="175.1"/>
    <n v="177.1"/>
    <s v="NA"/>
    <x v="240"/>
    <n v="167.7"/>
    <x v="273"/>
    <n v="166.2"/>
    <n v="167.2"/>
    <n v="170.9"/>
    <x v="250"/>
    <n v="170.2"/>
    <x v="256"/>
    <m/>
    <x v="0"/>
  </r>
  <r>
    <x v="1"/>
    <x v="9"/>
    <x v="3"/>
    <s v="April,2022"/>
    <n v="155.4"/>
    <n v="215.8"/>
    <n v="164.6"/>
    <n v="164.2"/>
    <n v="186"/>
    <n v="175.9"/>
    <n v="190.7"/>
    <n v="164"/>
    <n v="120.5"/>
    <n v="178"/>
    <n v="157.5"/>
    <n v="183.3"/>
    <x v="243"/>
    <n v="197.1"/>
    <n v="168.4"/>
    <n v="154.5"/>
    <n v="166.3"/>
    <n v="167"/>
    <x v="241"/>
    <n v="159.80000000000001"/>
    <x v="274"/>
    <n v="159.30000000000001"/>
    <n v="162.19999999999999"/>
    <n v="164"/>
    <x v="251"/>
    <n v="163.1"/>
    <x v="257"/>
    <m/>
    <x v="0"/>
  </r>
  <r>
    <x v="2"/>
    <x v="9"/>
    <x v="3"/>
    <s v="April,2022"/>
    <n v="152.9"/>
    <n v="211.8"/>
    <n v="164.5"/>
    <n v="163.9"/>
    <n v="199.5"/>
    <n v="172.6"/>
    <n v="166.2"/>
    <n v="164.7"/>
    <n v="119"/>
    <n v="181.3"/>
    <n v="166.2"/>
    <n v="180.9"/>
    <x v="244"/>
    <n v="193.9"/>
    <n v="173.9"/>
    <n v="166.5"/>
    <n v="172.8"/>
    <n v="167"/>
    <x v="242"/>
    <n v="164"/>
    <x v="261"/>
    <n v="162.6"/>
    <n v="164.4"/>
    <n v="166.9"/>
    <x v="252"/>
    <n v="166.8"/>
    <x v="258"/>
    <m/>
    <x v="0"/>
  </r>
  <r>
    <x v="0"/>
    <x v="9"/>
    <x v="4"/>
    <s v="May,2022"/>
    <n v="152.9"/>
    <n v="214.7"/>
    <n v="161.4"/>
    <n v="164.6"/>
    <n v="209.9"/>
    <n v="168"/>
    <n v="160.4"/>
    <n v="165"/>
    <n v="118.9"/>
    <n v="186.6"/>
    <n v="173.2"/>
    <n v="180.4"/>
    <x v="244"/>
    <n v="192.9"/>
    <n v="179.3"/>
    <n v="177.2"/>
    <n v="179"/>
    <s v="NA"/>
    <x v="243"/>
    <n v="168.9"/>
    <x v="275"/>
    <n v="167.1"/>
    <n v="167.6"/>
    <n v="171.8"/>
    <x v="253"/>
    <n v="170.9"/>
    <x v="259"/>
    <m/>
    <x v="0"/>
  </r>
  <r>
    <x v="1"/>
    <x v="9"/>
    <x v="4"/>
    <s v="May,2022"/>
    <n v="156.69999999999999"/>
    <n v="221.2"/>
    <n v="164.1"/>
    <n v="165.4"/>
    <n v="189.5"/>
    <n v="174.5"/>
    <n v="203.2"/>
    <n v="164.1"/>
    <n v="121.2"/>
    <n v="181.4"/>
    <n v="158.5"/>
    <n v="184.9"/>
    <x v="245"/>
    <n v="197.5"/>
    <n v="170"/>
    <n v="155.9"/>
    <n v="167.8"/>
    <n v="167.5"/>
    <x v="244"/>
    <n v="161.1"/>
    <x v="276"/>
    <n v="159.4"/>
    <n v="163.19999999999999"/>
    <n v="165.2"/>
    <x v="254"/>
    <n v="163.80000000000001"/>
    <x v="256"/>
    <m/>
    <x v="0"/>
  </r>
  <r>
    <x v="2"/>
    <x v="9"/>
    <x v="4"/>
    <s v="May,2022"/>
    <n v="154.1"/>
    <n v="217"/>
    <n v="162.4"/>
    <n v="164.9"/>
    <n v="202.4"/>
    <n v="171"/>
    <n v="174.9"/>
    <n v="164.7"/>
    <n v="119.7"/>
    <n v="184.9"/>
    <n v="167.1"/>
    <n v="182.5"/>
    <x v="246"/>
    <n v="194.1"/>
    <n v="175.6"/>
    <n v="168.4"/>
    <n v="174.6"/>
    <n v="167.5"/>
    <x v="245"/>
    <n v="165.2"/>
    <x v="277"/>
    <n v="163"/>
    <n v="165.1"/>
    <n v="167.9"/>
    <x v="251"/>
    <n v="167.5"/>
    <x v="260"/>
    <m/>
    <x v="0"/>
  </r>
  <r>
    <x v="0"/>
    <x v="9"/>
    <x v="5"/>
    <s v="June,2022"/>
    <n v="153.80000000000001"/>
    <n v="217.2"/>
    <n v="169.6"/>
    <n v="165.4"/>
    <n v="208.1"/>
    <n v="165.8"/>
    <n v="167.3"/>
    <n v="164.6"/>
    <n v="119.1"/>
    <n v="188.9"/>
    <n v="174.2"/>
    <n v="181.9"/>
    <x v="247"/>
    <n v="192.9"/>
    <n v="180.7"/>
    <n v="178.7"/>
    <n v="180.4"/>
    <s v="NA"/>
    <x v="246"/>
    <n v="170.3"/>
    <x v="278"/>
    <n v="165.5"/>
    <n v="168"/>
    <n v="172.6"/>
    <x v="255"/>
    <n v="171"/>
    <x v="261"/>
    <m/>
    <x v="0"/>
  </r>
  <r>
    <x v="1"/>
    <x v="9"/>
    <x v="5"/>
    <s v="June,2022"/>
    <n v="157.5"/>
    <n v="223.4"/>
    <n v="172.8"/>
    <n v="166.4"/>
    <n v="188.6"/>
    <n v="174.1"/>
    <n v="211.5"/>
    <n v="163.6"/>
    <n v="121.4"/>
    <n v="183.5"/>
    <n v="159.1"/>
    <n v="186.3"/>
    <x v="248"/>
    <n v="198.3"/>
    <n v="171.6"/>
    <n v="157.4"/>
    <n v="169.4"/>
    <n v="166.8"/>
    <x v="247"/>
    <n v="162.1"/>
    <x v="279"/>
    <n v="157.19999999999999"/>
    <n v="164.1"/>
    <n v="166.5"/>
    <x v="256"/>
    <n v="163.80000000000001"/>
    <x v="262"/>
    <m/>
    <x v="0"/>
  </r>
  <r>
    <x v="2"/>
    <x v="9"/>
    <x v="5"/>
    <s v="June,2022"/>
    <n v="155"/>
    <n v="219.4"/>
    <n v="170.8"/>
    <n v="165.8"/>
    <n v="200.9"/>
    <n v="169.7"/>
    <n v="182.3"/>
    <n v="164.3"/>
    <n v="119.9"/>
    <n v="187.1"/>
    <n v="167.9"/>
    <n v="183.9"/>
    <x v="249"/>
    <n v="194.3"/>
    <n v="177.1"/>
    <n v="169.9"/>
    <n v="176"/>
    <n v="166.8"/>
    <x v="248"/>
    <n v="166.4"/>
    <x v="280"/>
    <n v="161.1"/>
    <n v="165.8"/>
    <n v="169"/>
    <x v="257"/>
    <n v="167.5"/>
    <x v="263"/>
    <m/>
    <x v="0"/>
  </r>
  <r>
    <x v="0"/>
    <x v="9"/>
    <x v="6"/>
    <s v="July,2022"/>
    <n v="155.19999999999999"/>
    <n v="210.8"/>
    <n v="174.3"/>
    <n v="166.3"/>
    <n v="202.2"/>
    <n v="169.6"/>
    <n v="168.6"/>
    <n v="164.4"/>
    <n v="119.2"/>
    <n v="191.8"/>
    <n v="174.5"/>
    <n v="183.1"/>
    <x v="250"/>
    <n v="193.2"/>
    <n v="182"/>
    <n v="180.3"/>
    <n v="181.7"/>
    <s v="NA"/>
    <x v="249"/>
    <n v="171.3"/>
    <x v="281"/>
    <n v="166.3"/>
    <n v="168.6"/>
    <n v="174.7"/>
    <x v="258"/>
    <n v="171.8"/>
    <x v="264"/>
    <m/>
    <x v="0"/>
  </r>
  <r>
    <x v="1"/>
    <x v="9"/>
    <x v="6"/>
    <s v="July,2022"/>
    <n v="159.30000000000001"/>
    <n v="217.1"/>
    <n v="176.6"/>
    <n v="167.1"/>
    <n v="184.8"/>
    <n v="179.5"/>
    <n v="208.5"/>
    <n v="164"/>
    <n v="121.5"/>
    <n v="186.3"/>
    <n v="159.80000000000001"/>
    <n v="187.7"/>
    <x v="251"/>
    <n v="198.6"/>
    <n v="172.7"/>
    <n v="158.69999999999999"/>
    <n v="170.6"/>
    <n v="167.8"/>
    <x v="250"/>
    <n v="163.1"/>
    <x v="282"/>
    <n v="157.4"/>
    <n v="164.6"/>
    <n v="169.1"/>
    <x v="259"/>
    <n v="164.7"/>
    <x v="265"/>
    <m/>
    <x v="0"/>
  </r>
  <r>
    <x v="2"/>
    <x v="9"/>
    <x v="6"/>
    <s v="July,2022"/>
    <n v="156.5"/>
    <n v="213"/>
    <n v="175.2"/>
    <n v="166.6"/>
    <n v="195.8"/>
    <n v="174.2"/>
    <n v="182.1"/>
    <n v="164.3"/>
    <n v="120"/>
    <n v="190"/>
    <n v="168.4"/>
    <n v="185.2"/>
    <x v="252"/>
    <n v="194.6"/>
    <n v="178.3"/>
    <n v="171.3"/>
    <n v="177.3"/>
    <n v="167.8"/>
    <x v="249"/>
    <n v="167.4"/>
    <x v="283"/>
    <n v="161.6"/>
    <n v="166.3"/>
    <n v="171.4"/>
    <x v="258"/>
    <n v="168.4"/>
    <x v="266"/>
    <m/>
    <x v="0"/>
  </r>
  <r>
    <x v="0"/>
    <x v="9"/>
    <x v="7"/>
    <s v="August,2022"/>
    <n v="159.5"/>
    <n v="204.1"/>
    <n v="168.3"/>
    <n v="167.9"/>
    <n v="198.1"/>
    <n v="169.2"/>
    <n v="173.1"/>
    <n v="167.1"/>
    <n v="120.2"/>
    <n v="195.6"/>
    <n v="174.8"/>
    <n v="184"/>
    <x v="253"/>
    <n v="193.7"/>
    <n v="183.2"/>
    <n v="181.7"/>
    <n v="183"/>
    <s v="NA"/>
    <x v="251"/>
    <n v="172.3"/>
    <x v="284"/>
    <n v="166.6"/>
    <n v="169.3"/>
    <n v="175.7"/>
    <x v="260"/>
    <n v="172.6"/>
    <x v="267"/>
    <m/>
    <x v="0"/>
  </r>
  <r>
    <x v="1"/>
    <x v="9"/>
    <x v="7"/>
    <s v="August,2022"/>
    <n v="162.1"/>
    <n v="210.9"/>
    <n v="170.6"/>
    <n v="168.4"/>
    <n v="182.5"/>
    <n v="177.1"/>
    <n v="213.1"/>
    <n v="167.3"/>
    <n v="122.2"/>
    <n v="189.7"/>
    <n v="160.5"/>
    <n v="188.9"/>
    <x v="254"/>
    <n v="198.7"/>
    <n v="173.7"/>
    <n v="160"/>
    <n v="171.6"/>
    <n v="169"/>
    <x v="252"/>
    <n v="164.2"/>
    <x v="285"/>
    <n v="157.69999999999999"/>
    <n v="165.1"/>
    <n v="169.9"/>
    <x v="261"/>
    <n v="165.4"/>
    <x v="268"/>
    <m/>
    <x v="0"/>
  </r>
  <r>
    <x v="2"/>
    <x v="9"/>
    <x v="7"/>
    <s v="August,2022"/>
    <n v="160.30000000000001"/>
    <n v="206.5"/>
    <n v="169.2"/>
    <n v="168.1"/>
    <n v="192.4"/>
    <n v="172.9"/>
    <n v="186.7"/>
    <n v="167.2"/>
    <n v="120.9"/>
    <n v="193.6"/>
    <n v="168.8"/>
    <n v="186.3"/>
    <x v="255"/>
    <n v="195"/>
    <n v="179.5"/>
    <n v="172.7"/>
    <n v="178.5"/>
    <n v="169"/>
    <x v="253"/>
    <n v="168.5"/>
    <x v="286"/>
    <n v="161.9"/>
    <n v="166.9"/>
    <n v="172.3"/>
    <x v="262"/>
    <n v="169.1"/>
    <x v="264"/>
    <m/>
    <x v="0"/>
  </r>
  <r>
    <x v="0"/>
    <x v="9"/>
    <x v="8"/>
    <s v="September,2022"/>
    <n v="162.9"/>
    <n v="206.7"/>
    <n v="169"/>
    <n v="169.5"/>
    <n v="194.1"/>
    <n v="164.1"/>
    <n v="176.9"/>
    <n v="169"/>
    <n v="120.8"/>
    <n v="199.1"/>
    <n v="175.4"/>
    <n v="184.8"/>
    <x v="256"/>
    <n v="194.5"/>
    <n v="184.7"/>
    <n v="183.3"/>
    <n v="184.5"/>
    <s v="NA"/>
    <x v="254"/>
    <n v="173.6"/>
    <x v="287"/>
    <n v="166.9"/>
    <n v="170"/>
    <n v="176.2"/>
    <x v="263"/>
    <n v="173.1"/>
    <x v="269"/>
    <m/>
    <x v="0"/>
  </r>
  <r>
    <x v="1"/>
    <x v="9"/>
    <x v="8"/>
    <s v="September,2022"/>
    <n v="164.9"/>
    <n v="213.7"/>
    <n v="170.9"/>
    <n v="170.1"/>
    <n v="179.3"/>
    <n v="167.5"/>
    <n v="220.8"/>
    <n v="169.2"/>
    <n v="123.1"/>
    <n v="193.6"/>
    <n v="161.1"/>
    <n v="190.4"/>
    <x v="257"/>
    <n v="199.7"/>
    <n v="175"/>
    <n v="161.69999999999999"/>
    <n v="173"/>
    <n v="169.5"/>
    <x v="255"/>
    <n v="165"/>
    <x v="288"/>
    <n v="158.19999999999999"/>
    <n v="165.8"/>
    <n v="170.9"/>
    <x v="260"/>
    <n v="166.1"/>
    <x v="270"/>
    <m/>
    <x v="0"/>
  </r>
  <r>
    <x v="2"/>
    <x v="9"/>
    <x v="8"/>
    <s v="September,2022"/>
    <n v="163.5"/>
    <n v="209.2"/>
    <n v="169.7"/>
    <n v="169.7"/>
    <n v="188.7"/>
    <n v="165.7"/>
    <n v="191.8"/>
    <n v="169.1"/>
    <n v="121.6"/>
    <n v="197.3"/>
    <n v="169.4"/>
    <n v="187.4"/>
    <x v="258"/>
    <n v="195.9"/>
    <n v="180.9"/>
    <n v="174.3"/>
    <n v="179.9"/>
    <n v="169.5"/>
    <x v="250"/>
    <n v="169.5"/>
    <x v="289"/>
    <n v="162.30000000000001"/>
    <n v="167.6"/>
    <n v="173.1"/>
    <x v="264"/>
    <n v="169.7"/>
    <x v="267"/>
    <m/>
    <x v="0"/>
  </r>
  <r>
    <x v="0"/>
    <x v="9"/>
    <x v="9"/>
    <s v="October,2022"/>
    <n v="164.7"/>
    <n v="208.8"/>
    <n v="170.3"/>
    <n v="170.9"/>
    <n v="191.6"/>
    <n v="162.19999999999999"/>
    <n v="184.8"/>
    <n v="169.7"/>
    <n v="121.1"/>
    <n v="201.6"/>
    <n v="175.8"/>
    <n v="185.6"/>
    <x v="259"/>
    <n v="194.9"/>
    <n v="186.1"/>
    <n v="184.4"/>
    <n v="185.9"/>
    <s v="NA"/>
    <x v="256"/>
    <n v="174.4"/>
    <x v="290"/>
    <n v="167.4"/>
    <n v="170.6"/>
    <n v="176.5"/>
    <x v="265"/>
    <n v="173.9"/>
    <x v="271"/>
    <m/>
    <x v="0"/>
  </r>
  <r>
    <x v="1"/>
    <x v="9"/>
    <x v="9"/>
    <s v="October,2022"/>
    <n v="166.4"/>
    <n v="214.9"/>
    <n v="171.9"/>
    <n v="171"/>
    <n v="177.7"/>
    <n v="165.7"/>
    <n v="228.6"/>
    <n v="169.9"/>
    <n v="123.4"/>
    <n v="196.4"/>
    <n v="161.6"/>
    <n v="191.5"/>
    <x v="260"/>
    <n v="200.1"/>
    <n v="175.5"/>
    <n v="162.6"/>
    <n v="173.6"/>
    <n v="171.2"/>
    <x v="257"/>
    <n v="166"/>
    <x v="264"/>
    <n v="158.80000000000001"/>
    <n v="166.3"/>
    <n v="171.2"/>
    <x v="266"/>
    <n v="166.8"/>
    <x v="267"/>
    <m/>
    <x v="0"/>
  </r>
  <r>
    <x v="2"/>
    <x v="9"/>
    <x v="9"/>
    <s v="October,2022"/>
    <n v="165.2"/>
    <n v="210.9"/>
    <n v="170.9"/>
    <n v="170.9"/>
    <n v="186.5"/>
    <n v="163.80000000000001"/>
    <n v="199.7"/>
    <n v="169.8"/>
    <n v="121.9"/>
    <n v="199.9"/>
    <n v="169.9"/>
    <n v="188.3"/>
    <x v="261"/>
    <n v="196.3"/>
    <n v="181.9"/>
    <n v="175.3"/>
    <n v="181"/>
    <n v="171.2"/>
    <x v="258"/>
    <n v="170.4"/>
    <x v="291"/>
    <n v="162.9"/>
    <n v="168.2"/>
    <n v="173.4"/>
    <x v="267"/>
    <n v="170.5"/>
    <x v="272"/>
    <m/>
    <x v="0"/>
  </r>
  <r>
    <x v="0"/>
    <x v="9"/>
    <x v="11"/>
    <s v="November,2022"/>
    <n v="166.9"/>
    <n v="207.2"/>
    <n v="180.2"/>
    <n v="172.3"/>
    <n v="194"/>
    <n v="159.1"/>
    <n v="171.6"/>
    <n v="170.2"/>
    <n v="121.5"/>
    <n v="204.8"/>
    <n v="176.4"/>
    <n v="186.9"/>
    <x v="262"/>
    <n v="195.5"/>
    <n v="187.2"/>
    <n v="185.2"/>
    <n v="186.9"/>
    <s v="NA"/>
    <x v="259"/>
    <n v="175.5"/>
    <x v="292"/>
    <n v="167.5"/>
    <n v="170.8"/>
    <n v="176.9"/>
    <x v="268"/>
    <n v="174.6"/>
    <x v="273"/>
    <m/>
    <x v="0"/>
  </r>
  <r>
    <x v="1"/>
    <x v="9"/>
    <x v="11"/>
    <s v="November,2022"/>
    <n v="168.4"/>
    <n v="213.4"/>
    <n v="183.2"/>
    <n v="172.3"/>
    <n v="180"/>
    <n v="162.6"/>
    <n v="205.5"/>
    <n v="171"/>
    <n v="123.4"/>
    <n v="198.8"/>
    <n v="162.1"/>
    <n v="192.4"/>
    <x v="263"/>
    <n v="200.6"/>
    <n v="176.7"/>
    <n v="163.5"/>
    <n v="174.7"/>
    <n v="171.8"/>
    <x v="260"/>
    <n v="166.9"/>
    <x v="293"/>
    <n v="158.9"/>
    <n v="166.7"/>
    <n v="171.5"/>
    <x v="269"/>
    <n v="167.4"/>
    <x v="270"/>
    <m/>
    <x v="0"/>
  </r>
  <r>
    <x v="2"/>
    <x v="9"/>
    <x v="11"/>
    <s v="November,2022"/>
    <n v="167.4"/>
    <n v="209.4"/>
    <n v="181.4"/>
    <n v="172.3"/>
    <n v="188.9"/>
    <n v="160.69999999999999"/>
    <n v="183.1"/>
    <n v="170.5"/>
    <n v="122.1"/>
    <n v="202.8"/>
    <n v="170.4"/>
    <n v="189.5"/>
    <x v="264"/>
    <n v="196.9"/>
    <n v="183.1"/>
    <n v="176.2"/>
    <n v="182.1"/>
    <n v="171.8"/>
    <x v="261"/>
    <n v="171.4"/>
    <x v="294"/>
    <n v="163"/>
    <n v="168.5"/>
    <n v="173.7"/>
    <x v="270"/>
    <n v="171.1"/>
    <x v="274"/>
    <m/>
    <x v="0"/>
  </r>
  <r>
    <x v="0"/>
    <x v="9"/>
    <x v="12"/>
    <s v="December,2022"/>
    <n v="168.8"/>
    <n v="206.9"/>
    <n v="189.1"/>
    <n v="173.4"/>
    <n v="193.9"/>
    <n v="156.69999999999999"/>
    <n v="150.19999999999999"/>
    <n v="170.5"/>
    <n v="121.2"/>
    <n v="207.5"/>
    <n v="176.8"/>
    <n v="187.7"/>
    <x v="265"/>
    <n v="195.9"/>
    <n v="188.1"/>
    <n v="185.9"/>
    <n v="187.8"/>
    <s v="NA"/>
    <x v="262"/>
    <n v="176.4"/>
    <x v="295"/>
    <n v="167.8"/>
    <n v="171.2"/>
    <n v="177.3"/>
    <x v="271"/>
    <n v="175.5"/>
    <x v="275"/>
    <m/>
    <x v="0"/>
  </r>
  <r>
    <x v="1"/>
    <x v="9"/>
    <x v="12"/>
    <s v="December,2022"/>
    <n v="170.2"/>
    <n v="212.9"/>
    <n v="191.9"/>
    <n v="173.9"/>
    <n v="179.1"/>
    <n v="159.5"/>
    <n v="178.7"/>
    <n v="171.3"/>
    <n v="123.1"/>
    <n v="200.5"/>
    <n v="162.80000000000001"/>
    <n v="193.3"/>
    <x v="266"/>
    <n v="201.1"/>
    <n v="177.7"/>
    <n v="164.5"/>
    <n v="175.7"/>
    <n v="170.7"/>
    <x v="263"/>
    <n v="167.3"/>
    <x v="296"/>
    <n v="159.4"/>
    <n v="167.1"/>
    <n v="171.8"/>
    <x v="272"/>
    <n v="168.2"/>
    <x v="270"/>
    <m/>
    <x v="0"/>
  </r>
  <r>
    <x v="2"/>
    <x v="9"/>
    <x v="12"/>
    <s v="December,2022"/>
    <n v="169.2"/>
    <n v="209"/>
    <n v="190.2"/>
    <n v="173.6"/>
    <n v="188.5"/>
    <n v="158"/>
    <n v="159.9"/>
    <n v="170.8"/>
    <n v="121.8"/>
    <n v="205.2"/>
    <n v="171"/>
    <n v="190.3"/>
    <x v="267"/>
    <n v="197.3"/>
    <n v="184"/>
    <n v="177"/>
    <n v="183"/>
    <n v="170.7"/>
    <x v="264"/>
    <n v="172.1"/>
    <x v="297"/>
    <n v="163.4"/>
    <n v="168.9"/>
    <n v="174.1"/>
    <x v="273"/>
    <n v="172"/>
    <x v="276"/>
    <m/>
    <x v="0"/>
  </r>
  <r>
    <x v="0"/>
    <x v="10"/>
    <x v="0"/>
    <s v="January,2023"/>
    <n v="174"/>
    <n v="208.3"/>
    <n v="192.9"/>
    <n v="174.3"/>
    <n v="192.6"/>
    <n v="156.30000000000001"/>
    <n v="142.9"/>
    <n v="170.7"/>
    <n v="120.3"/>
    <n v="210.5"/>
    <n v="176.9"/>
    <n v="188.5"/>
    <x v="252"/>
    <n v="196.9"/>
    <n v="189"/>
    <n v="186.3"/>
    <n v="188.6"/>
    <s v="NA"/>
    <x v="265"/>
    <n v="177.2"/>
    <x v="298"/>
    <n v="168.2"/>
    <n v="171.8"/>
    <n v="177.8"/>
    <x v="274"/>
    <n v="176.5"/>
    <x v="273"/>
    <m/>
    <x v="0"/>
  </r>
  <r>
    <x v="1"/>
    <x v="10"/>
    <x v="0"/>
    <s v="January,2023"/>
    <n v="173.3"/>
    <n v="215.2"/>
    <n v="197"/>
    <n v="175.2"/>
    <n v="178"/>
    <n v="160.5"/>
    <n v="175.3"/>
    <n v="171.2"/>
    <n v="122.7"/>
    <n v="204.3"/>
    <n v="163.69999999999999"/>
    <n v="194.3"/>
    <x v="268"/>
    <n v="201.6"/>
    <n v="178.7"/>
    <n v="165.3"/>
    <n v="176.6"/>
    <n v="172.1"/>
    <x v="266"/>
    <n v="168"/>
    <x v="299"/>
    <n v="159.5"/>
    <n v="167.8"/>
    <n v="171.8"/>
    <x v="275"/>
    <n v="168.9"/>
    <x v="277"/>
    <m/>
    <x v="0"/>
  </r>
  <r>
    <x v="2"/>
    <x v="10"/>
    <x v="0"/>
    <s v="January,2023"/>
    <n v="173.8"/>
    <n v="210.7"/>
    <n v="194.5"/>
    <n v="174.6"/>
    <n v="187.2"/>
    <n v="158.30000000000001"/>
    <n v="153.9"/>
    <n v="170.9"/>
    <n v="121.1"/>
    <n v="208.4"/>
    <n v="171.4"/>
    <n v="191.2"/>
    <x v="269"/>
    <n v="198.2"/>
    <n v="184.9"/>
    <n v="177.6"/>
    <n v="183.8"/>
    <n v="172.1"/>
    <x v="264"/>
    <n v="172.9"/>
    <x v="292"/>
    <n v="163.6"/>
    <n v="169.5"/>
    <n v="174.3"/>
    <x v="276"/>
    <n v="172.8"/>
    <x v="274"/>
    <m/>
    <x v="0"/>
  </r>
  <r>
    <x v="0"/>
    <x v="10"/>
    <x v="1"/>
    <s v="February,2023"/>
    <n v="174.2"/>
    <n v="205.2"/>
    <n v="173.9"/>
    <n v="177"/>
    <n v="183.4"/>
    <n v="167.2"/>
    <n v="140.9"/>
    <n v="170.4"/>
    <n v="119.1"/>
    <n v="212.1"/>
    <n v="177.6"/>
    <n v="189.9"/>
    <x v="270"/>
    <n v="198.3"/>
    <n v="190"/>
    <n v="187"/>
    <n v="189.6"/>
    <s v="NA"/>
    <x v="267"/>
    <n v="178.6"/>
    <x v="300"/>
    <n v="169"/>
    <n v="172.8"/>
    <n v="178.5"/>
    <x v="277"/>
    <n v="177.9"/>
    <x v="278"/>
    <m/>
    <x v="0"/>
  </r>
  <r>
    <x v="1"/>
    <x v="10"/>
    <x v="1"/>
    <s v="February,2023"/>
    <n v="174.7"/>
    <n v="212.2"/>
    <n v="177.2"/>
    <n v="177.9"/>
    <n v="172.2"/>
    <n v="172.1"/>
    <n v="175.8"/>
    <n v="172.2"/>
    <n v="121.9"/>
    <n v="204.8"/>
    <n v="164.9"/>
    <n v="196.6"/>
    <x v="271"/>
    <n v="202.7"/>
    <n v="180.3"/>
    <n v="167"/>
    <n v="178.2"/>
    <n v="173.5"/>
    <x v="262"/>
    <n v="169.2"/>
    <x v="301"/>
    <n v="159.80000000000001"/>
    <n v="168.4"/>
    <n v="172.5"/>
    <x v="278"/>
    <n v="170"/>
    <x v="279"/>
    <m/>
    <x v="0"/>
  </r>
  <r>
    <x v="2"/>
    <x v="10"/>
    <x v="1"/>
    <s v="February,2023"/>
    <n v="174.4"/>
    <n v="207.7"/>
    <n v="175.2"/>
    <n v="177.3"/>
    <n v="179.3"/>
    <n v="169.5"/>
    <n v="152.69999999999999"/>
    <n v="171"/>
    <n v="120"/>
    <n v="209.7"/>
    <n v="172.3"/>
    <n v="193"/>
    <x v="272"/>
    <n v="199.5"/>
    <n v="186.2"/>
    <n v="178.7"/>
    <n v="185.1"/>
    <n v="173.5"/>
    <x v="268"/>
    <n v="174.2"/>
    <x v="302"/>
    <n v="164.2"/>
    <n v="170.3"/>
    <n v="175"/>
    <x v="279"/>
    <n v="174.1"/>
    <x v="280"/>
    <m/>
    <x v="0"/>
  </r>
  <r>
    <x v="0"/>
    <x v="10"/>
    <x v="2"/>
    <s v="March,2023"/>
    <n v="174.3"/>
    <n v="205.2"/>
    <n v="173.9"/>
    <n v="177"/>
    <n v="183.3"/>
    <n v="167.2"/>
    <n v="140.9"/>
    <n v="170.5"/>
    <n v="119.1"/>
    <n v="212.1"/>
    <n v="177.6"/>
    <n v="189.9"/>
    <x v="270"/>
    <n v="198.4"/>
    <n v="190"/>
    <n v="187"/>
    <n v="189.6"/>
    <s v="NA"/>
    <x v="269"/>
    <n v="178.6"/>
    <x v="300"/>
    <n v="169"/>
    <n v="172.8"/>
    <n v="178.5"/>
    <x v="277"/>
    <n v="177.9"/>
    <x v="278"/>
    <m/>
    <x v="0"/>
  </r>
  <r>
    <x v="1"/>
    <x v="10"/>
    <x v="2"/>
    <s v="March,2023"/>
    <n v="174.7"/>
    <n v="212.2"/>
    <n v="177.2"/>
    <n v="177.9"/>
    <n v="172.2"/>
    <n v="172.1"/>
    <n v="175.9"/>
    <n v="172.2"/>
    <n v="121.9"/>
    <n v="204.8"/>
    <n v="164.9"/>
    <n v="196.6"/>
    <x v="273"/>
    <n v="202.7"/>
    <n v="180.2"/>
    <n v="167"/>
    <n v="178.2"/>
    <n v="173.5"/>
    <x v="270"/>
    <n v="169.2"/>
    <x v="301"/>
    <n v="159.80000000000001"/>
    <n v="168.4"/>
    <n v="172.5"/>
    <x v="280"/>
    <n v="170"/>
    <x v="279"/>
    <m/>
    <x v="0"/>
  </r>
  <r>
    <x v="2"/>
    <x v="10"/>
    <x v="2"/>
    <s v="March,2023"/>
    <n v="174.4"/>
    <n v="207.7"/>
    <n v="175.2"/>
    <n v="177.3"/>
    <n v="179.2"/>
    <n v="169.5"/>
    <n v="152.80000000000001"/>
    <n v="171.1"/>
    <n v="120"/>
    <n v="209.7"/>
    <n v="172.3"/>
    <n v="193"/>
    <x v="272"/>
    <n v="199.5"/>
    <n v="186.1"/>
    <n v="178.7"/>
    <n v="185.1"/>
    <n v="173.5"/>
    <x v="259"/>
    <n v="174.2"/>
    <x v="302"/>
    <n v="164.2"/>
    <n v="170.3"/>
    <n v="175"/>
    <x v="279"/>
    <n v="174.1"/>
    <x v="280"/>
    <m/>
    <x v="0"/>
  </r>
  <r>
    <x v="0"/>
    <x v="10"/>
    <x v="3"/>
    <s v="April,2023"/>
    <n v="173.3"/>
    <n v="206.9"/>
    <n v="167.9"/>
    <n v="178.2"/>
    <n v="178.5"/>
    <n v="173.7"/>
    <n v="142.80000000000001"/>
    <n v="172.8"/>
    <n v="120.4"/>
    <n v="215.5"/>
    <n v="178.2"/>
    <n v="190.5"/>
    <x v="256"/>
    <n v="199.5"/>
    <n v="190.7"/>
    <n v="187.3"/>
    <n v="190.2"/>
    <s v="NA"/>
    <x v="271"/>
    <n v="179.1"/>
    <x v="303"/>
    <n v="169.4"/>
    <n v="173.2"/>
    <n v="179.4"/>
    <x v="281"/>
    <n v="178.9"/>
    <x v="281"/>
    <m/>
    <x v="0"/>
  </r>
  <r>
    <x v="1"/>
    <x v="10"/>
    <x v="3"/>
    <s v="April,2023"/>
    <n v="174.8"/>
    <n v="213.7"/>
    <n v="172.4"/>
    <n v="178.8"/>
    <n v="168.7"/>
    <n v="179.2"/>
    <n v="179.9"/>
    <n v="174.7"/>
    <n v="123.1"/>
    <n v="207.8"/>
    <n v="165.5"/>
    <n v="197"/>
    <x v="274"/>
    <n v="203.5"/>
    <n v="181"/>
    <n v="167.7"/>
    <n v="178.9"/>
    <n v="175.2"/>
    <x v="268"/>
    <n v="169.6"/>
    <x v="304"/>
    <n v="160.1"/>
    <n v="168.8"/>
    <n v="174.2"/>
    <x v="282"/>
    <n v="170.9"/>
    <x v="282"/>
    <m/>
    <x v="0"/>
  </r>
  <r>
    <x v="2"/>
    <x v="10"/>
    <x v="3"/>
    <s v="April,2023"/>
    <n v="173.8"/>
    <n v="209.3"/>
    <n v="169.6"/>
    <n v="178.4"/>
    <n v="174.9"/>
    <n v="176.3"/>
    <n v="155.4"/>
    <n v="173.4"/>
    <n v="121.3"/>
    <n v="212.9"/>
    <n v="172.9"/>
    <n v="193.5"/>
    <x v="275"/>
    <n v="200.6"/>
    <n v="186.9"/>
    <n v="179.2"/>
    <n v="185.7"/>
    <n v="175.2"/>
    <x v="272"/>
    <n v="174.6"/>
    <x v="305"/>
    <n v="164.5"/>
    <n v="170.7"/>
    <n v="176.4"/>
    <x v="283"/>
    <n v="175"/>
    <x v="283"/>
    <m/>
    <x v="0"/>
  </r>
  <r>
    <x v="0"/>
    <x v="10"/>
    <x v="4"/>
    <s v="May,2023"/>
    <n v="173.2"/>
    <n v="211.5"/>
    <n v="171"/>
    <n v="179.6"/>
    <n v="173.3"/>
    <n v="169"/>
    <n v="148.69999999999999"/>
    <n v="174.9"/>
    <n v="121.9"/>
    <n v="221"/>
    <n v="178.7"/>
    <n v="191.1"/>
    <x v="276"/>
    <n v="199.9"/>
    <n v="191.2"/>
    <n v="187.9"/>
    <n v="190.8"/>
    <s v="NA"/>
    <x v="273"/>
    <n v="179.8"/>
    <x v="306"/>
    <n v="169.7"/>
    <n v="173.8"/>
    <n v="180.3"/>
    <x v="284"/>
    <n v="179.5"/>
    <x v="284"/>
    <m/>
    <x v="0"/>
  </r>
  <r>
    <x v="1"/>
    <x v="10"/>
    <x v="4"/>
    <s v="May,2023"/>
    <n v="174.7"/>
    <n v="219.4"/>
    <n v="176.7"/>
    <n v="179.4"/>
    <n v="164.4"/>
    <n v="175.8"/>
    <n v="185"/>
    <n v="176.9"/>
    <n v="124.2"/>
    <n v="211.9"/>
    <n v="165.9"/>
    <n v="197.7"/>
    <x v="277"/>
    <n v="204.2"/>
    <n v="181.3"/>
    <n v="168.1"/>
    <n v="179.3"/>
    <n v="175.6"/>
    <x v="274"/>
    <n v="170.1"/>
    <x v="307"/>
    <n v="160.4"/>
    <n v="169.2"/>
    <n v="174.8"/>
    <x v="285"/>
    <n v="171.6"/>
    <x v="285"/>
    <m/>
    <x v="0"/>
  </r>
  <r>
    <x v="2"/>
    <x v="10"/>
    <x v="4"/>
    <s v="May,2023"/>
    <n v="173.7"/>
    <n v="214.3"/>
    <n v="173.2"/>
    <n v="179.5"/>
    <n v="170"/>
    <n v="172.2"/>
    <n v="161"/>
    <n v="175.6"/>
    <n v="122.7"/>
    <n v="218"/>
    <n v="173.4"/>
    <n v="194.2"/>
    <x v="278"/>
    <n v="201"/>
    <n v="187.3"/>
    <n v="179.7"/>
    <n v="186.2"/>
    <n v="175.6"/>
    <x v="262"/>
    <n v="175.2"/>
    <x v="308"/>
    <n v="164.8"/>
    <n v="171.2"/>
    <n v="177.1"/>
    <x v="286"/>
    <n v="175.7"/>
    <x v="286"/>
    <m/>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0AEB010-15F9-423E-B655-D18DA2415E6B}" name="PivotTable3"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5:B11" firstHeaderRow="1" firstDataRow="1" firstDataCol="1" rowPageCount="3" colPageCount="1"/>
  <pivotFields count="33">
    <pivotField axis="axisPage" multipleItemSelectionAllowed="1" showAll="0">
      <items count="4">
        <item h="1" x="0"/>
        <item x="2"/>
        <item h="1" x="1"/>
        <item t="default"/>
      </items>
    </pivotField>
    <pivotField axis="axisPage" multipleItemSelectionAllowed="1" showAll="0">
      <items count="12">
        <item h="1" x="0"/>
        <item h="1" x="1"/>
        <item h="1" x="2"/>
        <item h="1" x="3"/>
        <item h="1" x="4"/>
        <item h="1" x="5"/>
        <item h="1" x="6"/>
        <item h="1" x="7"/>
        <item h="1" x="8"/>
        <item h="1" x="9"/>
        <item x="10"/>
        <item t="default"/>
      </items>
    </pivotField>
    <pivotField axis="axisPage" multipleItemSelectionAllowed="1" showAll="0">
      <items count="16">
        <item h="1" x="0"/>
        <item h="1" x="1"/>
        <item h="1" x="2"/>
        <item h="1" x="3"/>
        <item x="4"/>
        <item h="1" x="5"/>
        <item h="1" x="6"/>
        <item h="1" x="7"/>
        <item h="1" x="8"/>
        <item h="1" x="9"/>
        <item h="1" x="11"/>
        <item h="1" x="12"/>
        <item h="1" m="1" x="14"/>
        <item h="1" x="10"/>
        <item h="1" m="1"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dataField="1" showAll="0"/>
    <pivotField dataField="1" showAll="0"/>
    <pivotField dataField="1" showAll="0"/>
    <pivotField showAll="0"/>
    <pivotField showAll="0"/>
    <pivotField showAll="0"/>
    <pivotField showAll="0"/>
    <pivotField showAll="0"/>
    <pivotField showAll="0"/>
    <pivotField dataField="1" showAll="0"/>
    <pivotField showAll="0"/>
    <pivotField showAll="0"/>
    <pivotField showAll="0"/>
  </pivotFields>
  <rowFields count="1">
    <field x="-2"/>
  </rowFields>
  <rowItems count="6">
    <i>
      <x/>
    </i>
    <i i="1">
      <x v="1"/>
    </i>
    <i i="2">
      <x v="2"/>
    </i>
    <i i="3">
      <x v="3"/>
    </i>
    <i i="4">
      <x v="4"/>
    </i>
    <i i="5">
      <x v="5"/>
    </i>
  </rowItems>
  <colItems count="1">
    <i/>
  </colItems>
  <pageFields count="3">
    <pageField fld="1" hier="-1"/>
    <pageField fld="2" hier="-1"/>
    <pageField fld="0" hier="-1"/>
  </pageFields>
  <dataFields count="6">
    <dataField name="Sum of Food and beverages" fld="16" baseField="0" baseItem="0"/>
    <dataField name="Sum of Miscellaneous" fld="29" baseField="0" baseItem="0"/>
    <dataField name="Sum of Pan, tobacco and intoxicants" fld="17" baseField="0" baseItem="0"/>
    <dataField name="Sum of Housing" fld="21" baseField="0" baseItem="0"/>
    <dataField name="Sum of Fuel and light" fld="22" baseField="0" baseItem="0"/>
    <dataField name="Sum of Clothing and footwear" fld="20" baseField="0" baseItem="0"/>
  </dataFields>
  <chartFormats count="2">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3CAA9A0-EFBE-426A-A9E0-681037A83B7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B21" firstHeaderRow="1" firstDataRow="1" firstDataCol="1" rowPageCount="2" colPageCount="1"/>
  <pivotFields count="33">
    <pivotField axis="axisPage" multipleItemSelectionAllowed="1" showAll="0">
      <items count="4">
        <item h="1" x="0"/>
        <item x="2"/>
        <item h="1" x="1"/>
        <item t="default"/>
      </items>
    </pivotField>
    <pivotField axis="axisRow" multipleItemSelectionAllowed="1" showAll="0">
      <items count="12">
        <item h="1" x="0"/>
        <item h="1" x="1"/>
        <item h="1" x="2"/>
        <item h="1" x="3"/>
        <item x="4"/>
        <item x="5"/>
        <item x="6"/>
        <item x="7"/>
        <item x="8"/>
        <item x="9"/>
        <item x="10"/>
        <item t="default"/>
      </items>
    </pivotField>
    <pivotField axis="axisPage" multipleItemSelectionAllowed="1" showAll="0">
      <items count="16">
        <item h="1" x="0"/>
        <item h="1" x="1"/>
        <item h="1" x="2"/>
        <item h="1" x="3"/>
        <item x="4"/>
        <item h="1" x="5"/>
        <item h="1" x="6"/>
        <item h="1" x="7"/>
        <item h="1" x="8"/>
        <item h="1" x="9"/>
        <item h="1" x="11"/>
        <item h="1" x="12"/>
        <item h="1" m="1" x="14"/>
        <item h="1" x="10"/>
        <item h="1" m="1"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1"/>
  </rowFields>
  <rowItems count="8">
    <i>
      <x v="4"/>
    </i>
    <i>
      <x v="5"/>
    </i>
    <i>
      <x v="6"/>
    </i>
    <i>
      <x v="7"/>
    </i>
    <i>
      <x v="8"/>
    </i>
    <i>
      <x v="9"/>
    </i>
    <i>
      <x v="10"/>
    </i>
    <i t="grand">
      <x/>
    </i>
  </rowItems>
  <colItems count="1">
    <i/>
  </colItems>
  <pageFields count="2">
    <pageField fld="2" hier="-1"/>
    <pageField fld="0" hier="-1"/>
  </pageFields>
  <dataFields count="1">
    <dataField name="Sum of General index" fld="3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B572202-5FB1-4FFC-A40C-4AA8EF78278A}" name="PivotTable3" cacheId="0" applyNumberFormats="0" applyBorderFormats="0" applyFontFormats="0" applyPatternFormats="0" applyAlignmentFormats="0" applyWidthHeightFormats="1" dataCaption="Values" updatedVersion="8" minRefreshableVersion="3" colGrandTotals="0" itemPrintTitles="1" createdVersion="8" indent="0" outline="1" outlineData="1" multipleFieldFilters="0" chartFormat="13">
  <location ref="H5:K16" firstHeaderRow="1" firstDataRow="3" firstDataCol="1" rowPageCount="1" colPageCount="1"/>
  <pivotFields count="33">
    <pivotField axis="axisPage" multipleItemSelectionAllowed="1" showAll="0">
      <items count="4">
        <item h="1" x="0"/>
        <item x="2"/>
        <item h="1" x="1"/>
        <item t="default"/>
      </items>
    </pivotField>
    <pivotField axis="axisRow" multipleItemSelectionAllowed="1" showAll="0">
      <items count="12">
        <item h="1" x="0"/>
        <item h="1" x="1"/>
        <item h="1" x="2"/>
        <item x="3"/>
        <item x="4"/>
        <item x="5"/>
        <item x="6"/>
        <item x="7"/>
        <item x="8"/>
        <item x="9"/>
        <item x="10"/>
        <item t="default"/>
      </items>
    </pivotField>
    <pivotField axis="axisCol" multipleItemSelectionAllowed="1" showAll="0">
      <items count="16">
        <item h="1" x="0"/>
        <item h="1" x="1"/>
        <item x="2"/>
        <item h="1" x="3"/>
        <item h="1" x="4"/>
        <item h="1" x="5"/>
        <item h="1" x="6"/>
        <item h="1" x="7"/>
        <item h="1" x="8"/>
        <item h="1" x="9"/>
        <item h="1" x="11"/>
        <item h="1" x="12"/>
        <item m="1" x="14"/>
        <item h="1" x="10"/>
        <item m="1"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280">
        <item x="0"/>
        <item x="2"/>
        <item x="1"/>
        <item x="3"/>
        <item x="5"/>
        <item x="7"/>
        <item x="8"/>
        <item x="4"/>
        <item x="6"/>
        <item x="10"/>
        <item x="11"/>
        <item x="9"/>
        <item x="13"/>
        <item x="14"/>
        <item x="12"/>
        <item x="16"/>
        <item x="17"/>
        <item x="19"/>
        <item x="20"/>
        <item x="15"/>
        <item x="38"/>
        <item x="37"/>
        <item x="35"/>
        <item x="36"/>
        <item x="34"/>
        <item x="40"/>
        <item x="39"/>
        <item x="22"/>
        <item x="41"/>
        <item x="18"/>
        <item x="43"/>
        <item x="23"/>
        <item x="42"/>
        <item x="25"/>
        <item x="33"/>
        <item x="32"/>
        <item x="45"/>
        <item x="24"/>
        <item x="46"/>
        <item x="21"/>
        <item x="26"/>
        <item x="44"/>
        <item x="28"/>
        <item x="48"/>
        <item x="27"/>
        <item x="47"/>
        <item x="29"/>
        <item x="31"/>
        <item x="62"/>
        <item x="30"/>
        <item x="64"/>
        <item x="49"/>
        <item x="67"/>
        <item x="63"/>
        <item x="61"/>
        <item x="65"/>
        <item x="66"/>
        <item x="60"/>
        <item x="69"/>
        <item x="68"/>
        <item x="51"/>
        <item x="59"/>
        <item x="71"/>
        <item x="57"/>
        <item x="52"/>
        <item x="58"/>
        <item x="56"/>
        <item x="70"/>
        <item x="54"/>
        <item x="55"/>
        <item x="50"/>
        <item x="73"/>
        <item x="74"/>
        <item x="76"/>
        <item x="72"/>
        <item x="53"/>
        <item x="91"/>
        <item x="75"/>
        <item x="77"/>
        <item x="92"/>
        <item x="79"/>
        <item x="93"/>
        <item x="80"/>
        <item x="78"/>
        <item x="82"/>
        <item x="90"/>
        <item x="89"/>
        <item x="81"/>
        <item x="83"/>
        <item x="116"/>
        <item x="85"/>
        <item x="86"/>
        <item x="84"/>
        <item x="88"/>
        <item x="114"/>
        <item x="118"/>
        <item x="117"/>
        <item x="87"/>
        <item x="119"/>
        <item x="120"/>
        <item x="94"/>
        <item x="115"/>
        <item x="121"/>
        <item x="96"/>
        <item x="95"/>
        <item x="113"/>
        <item x="139"/>
        <item x="122"/>
        <item x="111"/>
        <item x="137"/>
        <item x="106"/>
        <item x="97"/>
        <item x="112"/>
        <item x="109"/>
        <item x="142"/>
        <item x="107"/>
        <item x="99"/>
        <item x="110"/>
        <item x="105"/>
        <item x="154"/>
        <item x="108"/>
        <item x="140"/>
        <item x="100"/>
        <item x="104"/>
        <item x="103"/>
        <item x="143"/>
        <item x="98"/>
        <item x="102"/>
        <item x="123"/>
        <item x="138"/>
        <item x="136"/>
        <item x="134"/>
        <item x="152"/>
        <item x="124"/>
        <item x="141"/>
        <item x="135"/>
        <item x="145"/>
        <item x="127"/>
        <item x="129"/>
        <item x="101"/>
        <item x="144"/>
        <item x="130"/>
        <item x="153"/>
        <item x="147"/>
        <item x="128"/>
        <item x="126"/>
        <item x="125"/>
        <item x="156"/>
        <item x="157"/>
        <item x="151"/>
        <item x="148"/>
        <item x="132"/>
        <item x="150"/>
        <item x="146"/>
        <item x="133"/>
        <item x="131"/>
        <item x="149"/>
        <item x="159"/>
        <item x="155"/>
        <item x="162"/>
        <item x="161"/>
        <item x="165"/>
        <item x="158"/>
        <item x="164"/>
        <item x="167"/>
        <item x="160"/>
        <item x="182"/>
        <item x="168"/>
        <item x="184"/>
        <item x="163"/>
        <item x="166"/>
        <item x="170"/>
        <item x="179"/>
        <item x="183"/>
        <item x="181"/>
        <item x="171"/>
        <item x="186"/>
        <item x="185"/>
        <item x="180"/>
        <item x="169"/>
        <item x="189"/>
        <item x="188"/>
        <item x="176"/>
        <item x="178"/>
        <item x="172"/>
        <item x="191"/>
        <item x="173"/>
        <item x="177"/>
        <item x="209"/>
        <item x="206"/>
        <item x="175"/>
        <item x="187"/>
        <item x="192"/>
        <item x="212"/>
        <item x="194"/>
        <item x="174"/>
        <item x="211"/>
        <item x="208"/>
        <item x="190"/>
        <item x="196"/>
        <item x="214"/>
        <item x="197"/>
        <item x="193"/>
        <item x="210"/>
        <item x="217"/>
        <item x="216"/>
        <item x="207"/>
        <item x="205"/>
        <item x="195"/>
        <item x="199"/>
        <item x="220"/>
        <item x="223"/>
        <item x="213"/>
        <item x="225"/>
        <item x="219"/>
        <item x="200"/>
        <item x="238"/>
        <item x="222"/>
        <item x="235"/>
        <item x="215"/>
        <item x="198"/>
        <item x="203"/>
        <item x="202"/>
        <item x="204"/>
        <item x="226"/>
        <item x="232"/>
        <item x="218"/>
        <item x="237"/>
        <item x="240"/>
        <item x="201"/>
        <item x="224"/>
        <item x="229"/>
        <item x="228"/>
        <item x="221"/>
        <item x="234"/>
        <item x="241"/>
        <item x="242"/>
        <item x="231"/>
        <item x="239"/>
        <item x="236"/>
        <item x="244"/>
        <item x="227"/>
        <item x="233"/>
        <item x="247"/>
        <item x="250"/>
        <item x="246"/>
        <item x="230"/>
        <item x="253"/>
        <item x="265"/>
        <item x="243"/>
        <item x="270"/>
        <item x="249"/>
        <item x="252"/>
        <item x="256"/>
        <item x="267"/>
        <item x="255"/>
        <item x="262"/>
        <item x="269"/>
        <item x="276"/>
        <item x="272"/>
        <item x="259"/>
        <item x="245"/>
        <item x="258"/>
        <item x="275"/>
        <item x="264"/>
        <item x="266"/>
        <item x="278"/>
        <item x="248"/>
        <item x="251"/>
        <item x="268"/>
        <item x="261"/>
        <item x="254"/>
        <item x="271"/>
        <item x="273"/>
        <item x="263"/>
        <item x="257"/>
        <item x="274"/>
        <item x="277"/>
        <item x="260"/>
        <item t="default"/>
      </items>
    </pivotField>
    <pivotField showAll="0"/>
    <pivotField showAll="0"/>
    <pivotField showAll="0"/>
    <pivotField showAll="0"/>
    <pivotField showAll="0"/>
    <pivotField dataField="1" showAll="0">
      <items count="276">
        <item x="1"/>
        <item x="0"/>
        <item x="3"/>
        <item x="4"/>
        <item x="5"/>
        <item x="2"/>
        <item x="7"/>
        <item x="6"/>
        <item x="9"/>
        <item x="10"/>
        <item x="8"/>
        <item x="12"/>
        <item x="13"/>
        <item x="11"/>
        <item x="15"/>
        <item x="16"/>
        <item x="18"/>
        <item x="14"/>
        <item x="19"/>
        <item x="17"/>
        <item x="25"/>
        <item x="27"/>
        <item x="21"/>
        <item x="23"/>
        <item x="30"/>
        <item x="20"/>
        <item x="37"/>
        <item x="22"/>
        <item x="41"/>
        <item x="28"/>
        <item x="46"/>
        <item x="31"/>
        <item x="33"/>
        <item x="35"/>
        <item x="24"/>
        <item x="26"/>
        <item x="29"/>
        <item x="32"/>
        <item x="34"/>
        <item x="39"/>
        <item x="42"/>
        <item x="44"/>
        <item x="36"/>
        <item x="86"/>
        <item x="47"/>
        <item x="84"/>
        <item x="61"/>
        <item x="89"/>
        <item x="64"/>
        <item x="99"/>
        <item x="38"/>
        <item x="40"/>
        <item x="49"/>
        <item x="51"/>
        <item x="43"/>
        <item x="76"/>
        <item x="102"/>
        <item x="45"/>
        <item x="53"/>
        <item x="79"/>
        <item x="48"/>
        <item x="50"/>
        <item x="55"/>
        <item x="105"/>
        <item x="108"/>
        <item x="57"/>
        <item x="52"/>
        <item x="59"/>
        <item x="122"/>
        <item x="117"/>
        <item x="62"/>
        <item x="120"/>
        <item x="65"/>
        <item x="54"/>
        <item x="67"/>
        <item x="70"/>
        <item x="56"/>
        <item x="72"/>
        <item x="58"/>
        <item x="114"/>
        <item x="74"/>
        <item x="60"/>
        <item x="77"/>
        <item x="87"/>
        <item x="85"/>
        <item x="63"/>
        <item x="80"/>
        <item x="66"/>
        <item x="82"/>
        <item x="91"/>
        <item x="93"/>
        <item x="95"/>
        <item x="69"/>
        <item x="68"/>
        <item x="97"/>
        <item x="100"/>
        <item x="71"/>
        <item x="137"/>
        <item x="139"/>
        <item x="103"/>
        <item x="169"/>
        <item x="73"/>
        <item x="75"/>
        <item x="78"/>
        <item x="134"/>
        <item x="142"/>
        <item x="106"/>
        <item x="109"/>
        <item x="83"/>
        <item x="159"/>
        <item x="131"/>
        <item x="88"/>
        <item x="81"/>
        <item x="111"/>
        <item x="90"/>
        <item x="144"/>
        <item x="92"/>
        <item x="157"/>
        <item x="118"/>
        <item x="172"/>
        <item x="94"/>
        <item x="115"/>
        <item x="96"/>
        <item x="98"/>
        <item x="101"/>
        <item x="166"/>
        <item x="124"/>
        <item x="149"/>
        <item x="104"/>
        <item x="107"/>
        <item x="126"/>
        <item x="154"/>
        <item x="110"/>
        <item x="151"/>
        <item x="176"/>
        <item x="112"/>
        <item x="116"/>
        <item x="113"/>
        <item x="179"/>
        <item x="119"/>
        <item x="121"/>
        <item x="135"/>
        <item x="129"/>
        <item x="133"/>
        <item x="140"/>
        <item x="187"/>
        <item x="195"/>
        <item x="199"/>
        <item x="123"/>
        <item x="202"/>
        <item x="125"/>
        <item x="194"/>
        <item x="160"/>
        <item x="170"/>
        <item x="182"/>
        <item x="171"/>
        <item x="168"/>
        <item x="158"/>
        <item x="145"/>
        <item x="162"/>
        <item x="164"/>
        <item x="173"/>
        <item x="147"/>
        <item x="127"/>
        <item x="167"/>
        <item x="185"/>
        <item x="192"/>
        <item x="130"/>
        <item x="132"/>
        <item x="128"/>
        <item x="155"/>
        <item x="196"/>
        <item x="190"/>
        <item x="197"/>
        <item x="200"/>
        <item x="177"/>
        <item x="136"/>
        <item x="188"/>
        <item x="138"/>
        <item x="180"/>
        <item x="191"/>
        <item x="141"/>
        <item x="152"/>
        <item x="193"/>
        <item x="156"/>
        <item x="161"/>
        <item x="189"/>
        <item x="143"/>
        <item x="163"/>
        <item x="183"/>
        <item x="198"/>
        <item x="146"/>
        <item x="165"/>
        <item x="204"/>
        <item x="174"/>
        <item x="201"/>
        <item x="186"/>
        <item x="148"/>
        <item x="206"/>
        <item x="150"/>
        <item x="175"/>
        <item x="153"/>
        <item x="178"/>
        <item x="203"/>
        <item x="181"/>
        <item x="207"/>
        <item x="184"/>
        <item x="205"/>
        <item x="209"/>
        <item x="211"/>
        <item x="210"/>
        <item x="212"/>
        <item x="208"/>
        <item x="216"/>
        <item x="219"/>
        <item x="214"/>
        <item x="217"/>
        <item x="220"/>
        <item x="224"/>
        <item x="229"/>
        <item x="213"/>
        <item x="215"/>
        <item x="226"/>
        <item x="218"/>
        <item x="222"/>
        <item x="235"/>
        <item x="221"/>
        <item x="223"/>
        <item x="230"/>
        <item x="232"/>
        <item x="227"/>
        <item x="238"/>
        <item x="228"/>
        <item x="225"/>
        <item x="231"/>
        <item x="236"/>
        <item x="233"/>
        <item x="239"/>
        <item x="234"/>
        <item x="237"/>
        <item x="241"/>
        <item x="242"/>
        <item x="240"/>
        <item x="244"/>
        <item x="245"/>
        <item x="247"/>
        <item x="243"/>
        <item x="248"/>
        <item x="246"/>
        <item x="252"/>
        <item x="253"/>
        <item x="251"/>
        <item x="255"/>
        <item x="250"/>
        <item x="249"/>
        <item x="254"/>
        <item x="257"/>
        <item x="266"/>
        <item x="260"/>
        <item x="258"/>
        <item x="263"/>
        <item x="256"/>
        <item x="261"/>
        <item x="269"/>
        <item x="271"/>
        <item x="267"/>
        <item x="272"/>
        <item x="259"/>
        <item x="264"/>
        <item x="268"/>
        <item x="273"/>
        <item x="270"/>
        <item x="262"/>
        <item x="265"/>
        <item x="274"/>
        <item t="default"/>
      </items>
    </pivotField>
    <pivotField showAll="0"/>
    <pivotField dataField="1" showAll="0">
      <items count="310">
        <item x="0"/>
        <item x="1"/>
        <item x="2"/>
        <item x="4"/>
        <item x="3"/>
        <item x="6"/>
        <item x="7"/>
        <item x="5"/>
        <item x="9"/>
        <item x="8"/>
        <item x="11"/>
        <item x="10"/>
        <item x="12"/>
        <item x="14"/>
        <item x="13"/>
        <item x="15"/>
        <item x="17"/>
        <item x="16"/>
        <item x="18"/>
        <item x="19"/>
        <item x="21"/>
        <item x="22"/>
        <item x="24"/>
        <item x="20"/>
        <item x="25"/>
        <item x="23"/>
        <item x="29"/>
        <item x="27"/>
        <item x="26"/>
        <item x="28"/>
        <item x="31"/>
        <item x="33"/>
        <item x="30"/>
        <item x="34"/>
        <item x="36"/>
        <item x="32"/>
        <item x="39"/>
        <item x="37"/>
        <item x="35"/>
        <item x="40"/>
        <item x="38"/>
        <item x="41"/>
        <item x="47"/>
        <item x="43"/>
        <item x="52"/>
        <item x="45"/>
        <item x="42"/>
        <item x="55"/>
        <item x="58"/>
        <item x="48"/>
        <item x="44"/>
        <item x="50"/>
        <item x="46"/>
        <item x="63"/>
        <item x="53"/>
        <item x="49"/>
        <item x="68"/>
        <item x="56"/>
        <item x="71"/>
        <item x="59"/>
        <item x="51"/>
        <item x="73"/>
        <item x="61"/>
        <item x="54"/>
        <item x="76"/>
        <item x="57"/>
        <item x="64"/>
        <item x="60"/>
        <item x="66"/>
        <item x="69"/>
        <item x="62"/>
        <item x="83"/>
        <item x="65"/>
        <item x="74"/>
        <item x="67"/>
        <item x="77"/>
        <item x="87"/>
        <item x="70"/>
        <item x="89"/>
        <item x="92"/>
        <item x="80"/>
        <item x="95"/>
        <item x="98"/>
        <item x="72"/>
        <item x="100"/>
        <item x="75"/>
        <item x="84"/>
        <item x="78"/>
        <item x="105"/>
        <item x="79"/>
        <item x="109"/>
        <item x="81"/>
        <item x="112"/>
        <item x="115"/>
        <item x="90"/>
        <item x="82"/>
        <item x="93"/>
        <item x="85"/>
        <item x="96"/>
        <item x="123"/>
        <item x="126"/>
        <item x="86"/>
        <item x="129"/>
        <item x="101"/>
        <item x="88"/>
        <item x="103"/>
        <item x="91"/>
        <item x="132"/>
        <item x="94"/>
        <item x="107"/>
        <item x="135"/>
        <item x="97"/>
        <item x="110"/>
        <item x="99"/>
        <item x="113"/>
        <item x="139"/>
        <item x="102"/>
        <item x="116"/>
        <item x="104"/>
        <item x="118"/>
        <item x="120"/>
        <item x="106"/>
        <item x="124"/>
        <item x="143"/>
        <item x="127"/>
        <item x="130"/>
        <item x="108"/>
        <item x="146"/>
        <item x="111"/>
        <item x="133"/>
        <item x="114"/>
        <item x="149"/>
        <item x="117"/>
        <item x="119"/>
        <item x="136"/>
        <item x="152"/>
        <item x="121"/>
        <item x="122"/>
        <item x="128"/>
        <item x="125"/>
        <item x="157"/>
        <item x="131"/>
        <item x="141"/>
        <item x="134"/>
        <item x="144"/>
        <item x="147"/>
        <item x="137"/>
        <item x="159"/>
        <item x="150"/>
        <item x="138"/>
        <item x="153"/>
        <item x="162"/>
        <item x="155"/>
        <item x="165"/>
        <item x="140"/>
        <item x="145"/>
        <item x="142"/>
        <item x="148"/>
        <item x="151"/>
        <item x="169"/>
        <item x="160"/>
        <item x="171"/>
        <item x="154"/>
        <item x="163"/>
        <item x="173"/>
        <item x="156"/>
        <item x="176"/>
        <item x="158"/>
        <item x="179"/>
        <item x="161"/>
        <item x="183"/>
        <item x="164"/>
        <item x="186"/>
        <item x="189"/>
        <item x="192"/>
        <item x="195"/>
        <item x="167"/>
        <item x="198"/>
        <item x="201"/>
        <item x="203"/>
        <item x="205"/>
        <item x="208"/>
        <item x="166"/>
        <item x="172"/>
        <item x="210"/>
        <item x="174"/>
        <item x="168"/>
        <item x="177"/>
        <item x="180"/>
        <item x="213"/>
        <item x="181"/>
        <item x="184"/>
        <item x="187"/>
        <item x="190"/>
        <item x="216"/>
        <item x="193"/>
        <item x="219"/>
        <item x="196"/>
        <item x="199"/>
        <item x="170"/>
        <item x="175"/>
        <item x="222"/>
        <item x="178"/>
        <item x="212"/>
        <item x="225"/>
        <item x="206"/>
        <item x="182"/>
        <item x="185"/>
        <item x="228"/>
        <item x="188"/>
        <item x="211"/>
        <item x="214"/>
        <item x="191"/>
        <item x="231"/>
        <item x="194"/>
        <item x="197"/>
        <item x="234"/>
        <item x="200"/>
        <item x="217"/>
        <item x="202"/>
        <item x="220"/>
        <item x="223"/>
        <item x="204"/>
        <item x="207"/>
        <item x="226"/>
        <item x="209"/>
        <item x="239"/>
        <item x="229"/>
        <item x="242"/>
        <item x="215"/>
        <item x="232"/>
        <item x="218"/>
        <item x="221"/>
        <item x="235"/>
        <item x="224"/>
        <item x="227"/>
        <item x="247"/>
        <item x="237"/>
        <item x="250"/>
        <item x="230"/>
        <item x="240"/>
        <item x="243"/>
        <item x="233"/>
        <item x="253"/>
        <item x="257"/>
        <item x="259"/>
        <item x="236"/>
        <item x="238"/>
        <item x="262"/>
        <item x="241"/>
        <item x="245"/>
        <item x="265"/>
        <item x="248"/>
        <item x="251"/>
        <item x="268"/>
        <item x="271"/>
        <item x="254"/>
        <item x="274"/>
        <item x="244"/>
        <item x="246"/>
        <item x="260"/>
        <item x="276"/>
        <item x="249"/>
        <item x="263"/>
        <item x="279"/>
        <item x="252"/>
        <item x="266"/>
        <item x="282"/>
        <item x="255"/>
        <item x="269"/>
        <item x="256"/>
        <item x="285"/>
        <item x="272"/>
        <item x="258"/>
        <item x="288"/>
        <item x="261"/>
        <item x="264"/>
        <item x="277"/>
        <item x="267"/>
        <item x="280"/>
        <item x="293"/>
        <item x="270"/>
        <item x="283"/>
        <item x="286"/>
        <item x="273"/>
        <item x="296"/>
        <item x="275"/>
        <item x="289"/>
        <item x="278"/>
        <item x="299"/>
        <item x="291"/>
        <item x="281"/>
        <item x="284"/>
        <item x="294"/>
        <item x="287"/>
        <item x="301"/>
        <item x="297"/>
        <item x="290"/>
        <item x="304"/>
        <item x="307"/>
        <item x="292"/>
        <item x="295"/>
        <item x="302"/>
        <item x="298"/>
        <item x="305"/>
        <item x="308"/>
        <item x="300"/>
        <item x="303"/>
        <item x="306"/>
        <item t="default"/>
      </items>
    </pivotField>
    <pivotField showAll="0"/>
    <pivotField showAll="0"/>
    <pivotField showAll="0"/>
    <pivotField showAll="0">
      <items count="288">
        <item x="8"/>
        <item x="10"/>
        <item x="11"/>
        <item x="9"/>
        <item x="5"/>
        <item x="13"/>
        <item x="7"/>
        <item x="6"/>
        <item x="12"/>
        <item x="4"/>
        <item x="1"/>
        <item x="2"/>
        <item x="3"/>
        <item x="0"/>
        <item x="14"/>
        <item x="16"/>
        <item x="15"/>
        <item x="17"/>
        <item x="19"/>
        <item x="18"/>
        <item x="21"/>
        <item x="22"/>
        <item x="20"/>
        <item x="26"/>
        <item x="24"/>
        <item x="28"/>
        <item x="25"/>
        <item x="23"/>
        <item x="27"/>
        <item x="29"/>
        <item x="35"/>
        <item x="30"/>
        <item x="32"/>
        <item x="33"/>
        <item x="31"/>
        <item x="34"/>
        <item x="37"/>
        <item x="41"/>
        <item x="43"/>
        <item x="36"/>
        <item x="45"/>
        <item x="39"/>
        <item x="40"/>
        <item x="42"/>
        <item x="46"/>
        <item x="44"/>
        <item x="38"/>
        <item x="48"/>
        <item x="49"/>
        <item x="53"/>
        <item x="51"/>
        <item x="52"/>
        <item x="47"/>
        <item x="54"/>
        <item x="50"/>
        <item x="55"/>
        <item x="62"/>
        <item x="56"/>
        <item x="57"/>
        <item x="59"/>
        <item x="61"/>
        <item x="60"/>
        <item x="64"/>
        <item x="58"/>
        <item x="72"/>
        <item x="69"/>
        <item x="65"/>
        <item x="67"/>
        <item x="63"/>
        <item x="70"/>
        <item x="68"/>
        <item x="74"/>
        <item x="71"/>
        <item x="66"/>
        <item x="75"/>
        <item x="73"/>
        <item x="77"/>
        <item x="78"/>
        <item x="76"/>
        <item x="80"/>
        <item x="81"/>
        <item x="79"/>
        <item x="83"/>
        <item x="84"/>
        <item x="82"/>
        <item x="86"/>
        <item x="89"/>
        <item x="87"/>
        <item x="90"/>
        <item x="85"/>
        <item x="88"/>
        <item x="92"/>
        <item x="93"/>
        <item x="100"/>
        <item x="91"/>
        <item x="105"/>
        <item x="97"/>
        <item x="102"/>
        <item x="95"/>
        <item x="107"/>
        <item x="104"/>
        <item x="94"/>
        <item x="98"/>
        <item x="111"/>
        <item x="106"/>
        <item x="117"/>
        <item x="114"/>
        <item x="103"/>
        <item x="96"/>
        <item x="99"/>
        <item x="112"/>
        <item x="108"/>
        <item x="109"/>
        <item x="115"/>
        <item x="101"/>
        <item x="118"/>
        <item x="110"/>
        <item x="113"/>
        <item x="116"/>
        <item x="120"/>
        <item x="124"/>
        <item x="127"/>
        <item x="119"/>
        <item x="132"/>
        <item x="122"/>
        <item x="125"/>
        <item x="130"/>
        <item x="121"/>
        <item x="128"/>
        <item x="133"/>
        <item x="123"/>
        <item x="139"/>
        <item x="135"/>
        <item x="129"/>
        <item x="126"/>
        <item x="137"/>
        <item x="146"/>
        <item x="131"/>
        <item x="134"/>
        <item x="140"/>
        <item x="136"/>
        <item x="142"/>
        <item x="144"/>
        <item x="138"/>
        <item x="151"/>
        <item x="153"/>
        <item x="148"/>
        <item x="141"/>
        <item x="145"/>
        <item x="143"/>
        <item x="156"/>
        <item x="147"/>
        <item x="154"/>
        <item x="162"/>
        <item x="165"/>
        <item x="157"/>
        <item x="159"/>
        <item x="150"/>
        <item x="152"/>
        <item x="163"/>
        <item x="155"/>
        <item x="167"/>
        <item x="164"/>
        <item x="161"/>
        <item x="160"/>
        <item x="168"/>
        <item x="149"/>
        <item x="166"/>
        <item x="158"/>
        <item x="170"/>
        <item x="171"/>
        <item x="169"/>
        <item x="173"/>
        <item x="174"/>
        <item x="172"/>
        <item x="176"/>
        <item x="179"/>
        <item x="177"/>
        <item x="182"/>
        <item x="180"/>
        <item x="175"/>
        <item x="178"/>
        <item x="183"/>
        <item x="181"/>
        <item x="185"/>
        <item x="186"/>
        <item x="184"/>
        <item x="187"/>
        <item x="188"/>
        <item x="189"/>
        <item x="191"/>
        <item x="190"/>
        <item x="192"/>
        <item x="194"/>
        <item x="193"/>
        <item x="195"/>
        <item x="197"/>
        <item x="196"/>
        <item x="198"/>
        <item x="200"/>
        <item x="199"/>
        <item x="218"/>
        <item x="201"/>
        <item x="220"/>
        <item x="203"/>
        <item x="221"/>
        <item x="219"/>
        <item x="202"/>
        <item x="222"/>
        <item x="217"/>
        <item x="207"/>
        <item x="212"/>
        <item x="216"/>
        <item x="215"/>
        <item x="211"/>
        <item x="209"/>
        <item x="213"/>
        <item x="204"/>
        <item x="224"/>
        <item x="214"/>
        <item x="210"/>
        <item x="227"/>
        <item x="208"/>
        <item x="206"/>
        <item x="225"/>
        <item x="228"/>
        <item x="223"/>
        <item x="226"/>
        <item x="230"/>
        <item x="205"/>
        <item x="233"/>
        <item x="231"/>
        <item x="234"/>
        <item x="232"/>
        <item x="229"/>
        <item x="236"/>
        <item x="235"/>
        <item x="238"/>
        <item x="239"/>
        <item x="237"/>
        <item x="241"/>
        <item x="240"/>
        <item x="243"/>
        <item x="242"/>
        <item x="245"/>
        <item x="246"/>
        <item x="244"/>
        <item x="248"/>
        <item x="249"/>
        <item x="247"/>
        <item x="254"/>
        <item x="251"/>
        <item x="253"/>
        <item x="252"/>
        <item x="250"/>
        <item x="256"/>
        <item x="257"/>
        <item x="255"/>
        <item x="258"/>
        <item x="259"/>
        <item x="263"/>
        <item x="264"/>
        <item x="260"/>
        <item x="262"/>
        <item x="261"/>
        <item x="265"/>
        <item x="267"/>
        <item x="266"/>
        <item x="268"/>
        <item x="270"/>
        <item x="269"/>
        <item x="271"/>
        <item x="273"/>
        <item x="272"/>
        <item x="274"/>
        <item x="276"/>
        <item x="275"/>
        <item x="277"/>
        <item x="279"/>
        <item x="278"/>
        <item x="280"/>
        <item x="281"/>
        <item x="283"/>
        <item x="282"/>
        <item x="284"/>
        <item x="286"/>
        <item x="285"/>
        <item t="default"/>
      </items>
    </pivotField>
    <pivotField showAll="0"/>
    <pivotField showAll="0">
      <items count="288">
        <item x="1"/>
        <item x="2"/>
        <item x="4"/>
        <item x="7"/>
        <item x="0"/>
        <item x="5"/>
        <item x="8"/>
        <item x="10"/>
        <item x="3"/>
        <item x="6"/>
        <item x="11"/>
        <item x="9"/>
        <item x="13"/>
        <item x="14"/>
        <item x="12"/>
        <item x="15"/>
        <item x="17"/>
        <item x="16"/>
        <item x="18"/>
        <item x="20"/>
        <item x="19"/>
        <item x="21"/>
        <item x="23"/>
        <item x="22"/>
        <item x="35"/>
        <item x="37"/>
        <item x="25"/>
        <item x="33"/>
        <item x="36"/>
        <item x="26"/>
        <item x="28"/>
        <item x="24"/>
        <item x="34"/>
        <item x="38"/>
        <item x="40"/>
        <item x="29"/>
        <item x="31"/>
        <item x="41"/>
        <item x="39"/>
        <item x="27"/>
        <item x="43"/>
        <item x="44"/>
        <item x="42"/>
        <item x="32"/>
        <item x="46"/>
        <item x="47"/>
        <item x="45"/>
        <item x="30"/>
        <item x="60"/>
        <item x="62"/>
        <item x="64"/>
        <item x="49"/>
        <item x="59"/>
        <item x="57"/>
        <item x="50"/>
        <item x="61"/>
        <item x="48"/>
        <item x="65"/>
        <item x="52"/>
        <item x="55"/>
        <item x="66"/>
        <item x="53"/>
        <item x="63"/>
        <item x="51"/>
        <item x="54"/>
        <item x="56"/>
        <item x="58"/>
        <item x="67"/>
        <item x="69"/>
        <item x="71"/>
        <item x="68"/>
        <item x="72"/>
        <item x="76"/>
        <item x="79"/>
        <item x="74"/>
        <item x="90"/>
        <item x="87"/>
        <item x="70"/>
        <item x="82"/>
        <item x="84"/>
        <item x="73"/>
        <item x="77"/>
        <item x="94"/>
        <item x="80"/>
        <item x="91"/>
        <item x="75"/>
        <item x="89"/>
        <item x="85"/>
        <item x="78"/>
        <item x="95"/>
        <item x="112"/>
        <item x="81"/>
        <item x="115"/>
        <item x="86"/>
        <item x="92"/>
        <item x="88"/>
        <item x="117"/>
        <item x="83"/>
        <item x="103"/>
        <item x="109"/>
        <item x="97"/>
        <item x="119"/>
        <item x="93"/>
        <item x="121"/>
        <item x="123"/>
        <item x="125"/>
        <item x="99"/>
        <item x="96"/>
        <item x="113"/>
        <item x="118"/>
        <item x="105"/>
        <item x="101"/>
        <item x="110"/>
        <item x="107"/>
        <item x="128"/>
        <item x="98"/>
        <item x="126"/>
        <item x="114"/>
        <item x="116"/>
        <item x="131"/>
        <item x="111"/>
        <item x="120"/>
        <item x="100"/>
        <item x="122"/>
        <item x="104"/>
        <item x="102"/>
        <item x="108"/>
        <item x="106"/>
        <item x="124"/>
        <item x="145"/>
        <item x="140"/>
        <item x="129"/>
        <item x="138"/>
        <item x="134"/>
        <item x="132"/>
        <item x="136"/>
        <item x="127"/>
        <item x="146"/>
        <item x="148"/>
        <item x="143"/>
        <item x="150"/>
        <item x="141"/>
        <item x="153"/>
        <item x="133"/>
        <item x="130"/>
        <item x="155"/>
        <item x="158"/>
        <item x="135"/>
        <item x="144"/>
        <item x="169"/>
        <item x="147"/>
        <item x="161"/>
        <item x="164"/>
        <item x="149"/>
        <item x="142"/>
        <item x="172"/>
        <item x="168"/>
        <item x="139"/>
        <item x="170"/>
        <item x="137"/>
        <item x="166"/>
        <item x="159"/>
        <item x="156"/>
        <item x="151"/>
        <item x="162"/>
        <item x="167"/>
        <item x="171"/>
        <item x="173"/>
        <item x="152"/>
        <item x="165"/>
        <item x="174"/>
        <item x="157"/>
        <item x="160"/>
        <item x="163"/>
        <item x="154"/>
        <item x="176"/>
        <item x="178"/>
        <item x="175"/>
        <item x="179"/>
        <item x="183"/>
        <item x="177"/>
        <item x="181"/>
        <item x="180"/>
        <item x="184"/>
        <item x="186"/>
        <item x="182"/>
        <item x="189"/>
        <item x="187"/>
        <item x="199"/>
        <item x="196"/>
        <item x="194"/>
        <item x="185"/>
        <item x="190"/>
        <item x="201"/>
        <item x="197"/>
        <item x="198"/>
        <item x="188"/>
        <item x="195"/>
        <item x="192"/>
        <item x="204"/>
        <item x="202"/>
        <item x="200"/>
        <item x="205"/>
        <item x="193"/>
        <item x="191"/>
        <item x="203"/>
        <item x="207"/>
        <item x="208"/>
        <item x="210"/>
        <item x="206"/>
        <item x="212"/>
        <item x="209"/>
        <item x="221"/>
        <item x="213"/>
        <item x="223"/>
        <item x="224"/>
        <item x="215"/>
        <item x="225"/>
        <item x="218"/>
        <item x="222"/>
        <item x="211"/>
        <item x="226"/>
        <item x="228"/>
        <item x="227"/>
        <item x="216"/>
        <item x="220"/>
        <item x="219"/>
        <item x="230"/>
        <item x="214"/>
        <item x="231"/>
        <item x="217"/>
        <item x="229"/>
        <item x="233"/>
        <item x="235"/>
        <item x="232"/>
        <item x="238"/>
        <item x="236"/>
        <item x="234"/>
        <item x="237"/>
        <item x="239"/>
        <item x="241"/>
        <item x="250"/>
        <item x="247"/>
        <item x="242"/>
        <item x="244"/>
        <item x="251"/>
        <item x="252"/>
        <item x="248"/>
        <item x="240"/>
        <item x="249"/>
        <item x="254"/>
        <item x="245"/>
        <item x="246"/>
        <item x="243"/>
        <item x="255"/>
        <item x="253"/>
        <item x="257"/>
        <item x="258"/>
        <item x="256"/>
        <item x="262"/>
        <item x="260"/>
        <item x="265"/>
        <item x="259"/>
        <item x="263"/>
        <item x="268"/>
        <item x="266"/>
        <item x="261"/>
        <item x="270"/>
        <item x="264"/>
        <item x="277"/>
        <item x="267"/>
        <item x="276"/>
        <item x="279"/>
        <item x="269"/>
        <item x="274"/>
        <item x="272"/>
        <item x="275"/>
        <item x="280"/>
        <item x="282"/>
        <item x="273"/>
        <item x="271"/>
        <item x="278"/>
        <item x="283"/>
        <item x="285"/>
        <item x="281"/>
        <item x="286"/>
        <item x="284"/>
        <item t="default"/>
      </items>
    </pivotField>
    <pivotField showAll="0"/>
    <pivotField showAll="0">
      <items count="2">
        <item x="0"/>
        <item t="default"/>
      </items>
    </pivotField>
  </pivotFields>
  <rowFields count="1">
    <field x="1"/>
  </rowFields>
  <rowItems count="9">
    <i>
      <x v="3"/>
    </i>
    <i>
      <x v="4"/>
    </i>
    <i>
      <x v="5"/>
    </i>
    <i>
      <x v="6"/>
    </i>
    <i>
      <x v="7"/>
    </i>
    <i>
      <x v="8"/>
    </i>
    <i>
      <x v="9"/>
    </i>
    <i>
      <x v="10"/>
    </i>
    <i t="grand">
      <x/>
    </i>
  </rowItems>
  <colFields count="2">
    <field x="2"/>
    <field x="-2"/>
  </colFields>
  <colItems count="3">
    <i>
      <x v="2"/>
      <x/>
    </i>
    <i r="1" i="1">
      <x v="1"/>
    </i>
    <i r="1" i="2">
      <x v="2"/>
    </i>
  </colItems>
  <pageFields count="1">
    <pageField fld="0" hier="-1"/>
  </pageFields>
  <dataFields count="3">
    <dataField name="Sum of Health" fld="24" baseField="0" baseItem="0"/>
    <dataField name="Sum of Fuel and light" fld="22" baseField="0" baseItem="0"/>
    <dataField name="Sum of Food and beverages" fld="16" baseField="0" baseItem="0"/>
  </dataFields>
  <chartFormats count="6">
    <chartFormat chart="10" format="0" series="1">
      <pivotArea type="data" outline="0" fieldPosition="0">
        <references count="2">
          <reference field="4294967294" count="1" selected="0">
            <x v="0"/>
          </reference>
          <reference field="2" count="1" selected="0">
            <x v="2"/>
          </reference>
        </references>
      </pivotArea>
    </chartFormat>
    <chartFormat chart="10" format="1" series="1">
      <pivotArea type="data" outline="0" fieldPosition="0">
        <references count="2">
          <reference field="4294967294" count="1" selected="0">
            <x v="1"/>
          </reference>
          <reference field="2" count="1" selected="0">
            <x v="2"/>
          </reference>
        </references>
      </pivotArea>
    </chartFormat>
    <chartFormat chart="10" format="2" series="1">
      <pivotArea type="data" outline="0" fieldPosition="0">
        <references count="2">
          <reference field="4294967294" count="1" selected="0">
            <x v="2"/>
          </reference>
          <reference field="2" count="1" selected="0">
            <x v="2"/>
          </reference>
        </references>
      </pivotArea>
    </chartFormat>
    <chartFormat chart="12" format="6" series="1">
      <pivotArea type="data" outline="0" fieldPosition="0">
        <references count="2">
          <reference field="4294967294" count="1" selected="0">
            <x v="0"/>
          </reference>
          <reference field="2" count="1" selected="0">
            <x v="2"/>
          </reference>
        </references>
      </pivotArea>
    </chartFormat>
    <chartFormat chart="12" format="7" series="1">
      <pivotArea type="data" outline="0" fieldPosition="0">
        <references count="2">
          <reference field="4294967294" count="1" selected="0">
            <x v="1"/>
          </reference>
          <reference field="2" count="1" selected="0">
            <x v="2"/>
          </reference>
        </references>
      </pivotArea>
    </chartFormat>
    <chartFormat chart="12" format="8" series="1">
      <pivotArea type="data" outline="0" fieldPosition="0">
        <references count="2">
          <reference field="4294967294" count="1" selected="0">
            <x v="2"/>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66631BC-CB38-4501-8E9C-B8D0DCA94A26}" name="PivotTable1"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A4" firstHeaderRow="0" firstDataRow="0" firstDataCol="0" rowPageCount="1" colPageCount="1"/>
  <pivotFields count="33">
    <pivotField axis="axisPage" multipleItemSelectionAllowed="1" showAll="0">
      <items count="4">
        <item h="1" x="0"/>
        <item x="2"/>
        <item h="1" x="1"/>
        <item t="default"/>
      </items>
    </pivotField>
    <pivotField multipleItemSelectionAllowed="1" showAll="0">
      <items count="12">
        <item h="1" x="0"/>
        <item h="1" x="1"/>
        <item h="1" x="2"/>
        <item h="1" x="3"/>
        <item h="1" x="4"/>
        <item h="1" x="5"/>
        <item h="1" x="6"/>
        <item x="7"/>
        <item x="8"/>
        <item x="9"/>
        <item x="10"/>
        <item t="default"/>
      </items>
    </pivotField>
    <pivotField showAll="0">
      <items count="16">
        <item x="0"/>
        <item x="1"/>
        <item x="2"/>
        <item x="3"/>
        <item x="4"/>
        <item x="5"/>
        <item x="6"/>
        <item x="7"/>
        <item x="8"/>
        <item x="9"/>
        <item x="11"/>
        <item x="12"/>
        <item m="1" x="13"/>
        <item m="1" x="14"/>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ageFields count="1">
    <pageField fld="0"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48BCD7B-26A5-4DF0-BBC5-46BFF9A929F6}" name="Table1" displayName="Table1" ref="A1:AG374" totalsRowShown="0">
  <tableColumns count="33">
    <tableColumn id="1" xr3:uid="{E340D165-EB59-4C30-95B3-D2DE5AAFA7F4}" name="Sector"/>
    <tableColumn id="2" xr3:uid="{3D56C3FA-4363-4185-BF92-D0D373BBBC59}" name="Year"/>
    <tableColumn id="3" xr3:uid="{131331DD-3CF9-43A6-B5AA-C6D87D4B4F71}" name="Month"/>
    <tableColumn id="36" xr3:uid="{945A0683-34FD-4C9F-BC9B-4748E84A94CB}" name="Segment" dataDxfId="4">
      <calculatedColumnFormula xml:space="preserve"> _xlfn.CONCAT(Table1[[#This Row],[Month]],",",Table1[[#This Row],[Year]])</calculatedColumnFormula>
    </tableColumn>
    <tableColumn id="4" xr3:uid="{1D9C68BC-F54F-441F-BD5F-FDB5FD5625E8}" name="Cereals and products"/>
    <tableColumn id="5" xr3:uid="{71B6FB3B-A51E-492C-B03B-E5CB8F8AEFE4}" name="Meat and fish"/>
    <tableColumn id="6" xr3:uid="{41414B75-F2BA-4952-9FB5-AF5F49E8F97A}" name="Egg"/>
    <tableColumn id="7" xr3:uid="{F68A352F-54DE-45E9-B24A-AEF99AC9361C}" name="Milk and products"/>
    <tableColumn id="8" xr3:uid="{833B6203-65BC-4C8F-AF6A-AB351E4BEEA1}" name="Oils and fats"/>
    <tableColumn id="9" xr3:uid="{494390C9-6B14-4D13-836A-CD5894E72287}" name="Fruits"/>
    <tableColumn id="10" xr3:uid="{777B75E1-5652-4DDB-886A-A6A353A54632}" name="Vegetables"/>
    <tableColumn id="11" xr3:uid="{DDB24AC4-1DC5-46CA-81FE-679193F4DB7B}" name="Pulses and products"/>
    <tableColumn id="12" xr3:uid="{B7AD0554-0F1B-4DFA-A11F-D2D655AC3159}" name="Sugar and Confectionery"/>
    <tableColumn id="13" xr3:uid="{7D643082-9ED3-431B-A165-55BE283A2FF2}" name="Spices"/>
    <tableColumn id="14" xr3:uid="{E3E6DE1C-F2B3-4A3E-B5F6-7F6F50239B65}" name="Non-alcoholic beverages"/>
    <tableColumn id="15" xr3:uid="{70954470-6FED-4356-85C9-FB1E46AC7B39}" name="Prepared meals, snacks, sweets etc."/>
    <tableColumn id="16" xr3:uid="{37098A86-0F31-465D-8AD0-266FB8F7F727}" name="Food and beverages" dataCellStyle="20% - Accent1"/>
    <tableColumn id="17" xr3:uid="{520C7094-E03F-415C-BE00-E7A019223BBB}" name="Pan, tobacco and intoxicants" dataCellStyle="20% - Accent6"/>
    <tableColumn id="18" xr3:uid="{3B6EE617-2B7F-40B9-890A-5FD748CBC0FB}" name="Clothing"/>
    <tableColumn id="19" xr3:uid="{C2325910-FB7B-41E3-AFB1-AB31BAAA221E}" name="Footwear"/>
    <tableColumn id="20" xr3:uid="{ED5E5371-368A-4480-AF5D-3DEA5891A9CB}" name="Clothing and footwear" dataCellStyle="20% - Accent4"/>
    <tableColumn id="21" xr3:uid="{803274BC-DC0A-49F3-9FA3-8AE0AC06A7F3}" name="Housing" dataCellStyle="20% - Accent5"/>
    <tableColumn id="22" xr3:uid="{B8471CF2-56B1-4BA8-B2DF-EFEC64950195}" name="Fuel and light" dataCellStyle="20% - Accent3"/>
    <tableColumn id="23" xr3:uid="{8898FFD4-D023-47F3-BEE5-C8392F180DF3}" name="Household goods and services"/>
    <tableColumn id="24" xr3:uid="{8BB86199-DB64-4559-8922-06F831338E74}" name="Health"/>
    <tableColumn id="25" xr3:uid="{7183BDBE-A3B7-44FE-8C15-3F7283EFB880}" name="Transport and communication"/>
    <tableColumn id="26" xr3:uid="{2798A4E9-70C2-4923-A8AA-5B613CB44ABC}" name="Recreation and amusement"/>
    <tableColumn id="27" xr3:uid="{C644E8F2-E658-448A-8966-59FA81283A13}" name="Education"/>
    <tableColumn id="28" xr3:uid="{7AF75FB1-46A5-40F4-AE5D-A7B7FE0A0BAC}" name="Personal Care and Effect"/>
    <tableColumn id="29" xr3:uid="{EB2ED9A8-3A2C-4E8D-BCAD-0303B0811B83}" name="Miscellaneous" dataCellStyle="20% - Accent6"/>
    <tableColumn id="30" xr3:uid="{31EDF6A9-B3D8-4300-ADBE-E81E5CC49338}" name="General index"/>
    <tableColumn id="31" xr3:uid="{2009FDEE-167A-47D5-AA33-E26CB7952525}" name="Column1"/>
    <tableColumn id="32" xr3:uid="{39B461DD-3784-4048-91EE-B8AEE0655F78}" name="Column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C9D3F9D-4BDD-407C-944D-6FC75F7ED00D}" name="Table3" displayName="Table3" ref="A38:C44" totalsRowShown="0" headerRowDxfId="3">
  <tableColumns count="3">
    <tableColumn id="1" xr3:uid="{CF1233D1-EC87-4632-B456-9E699D7DC0B5}" name="Category"/>
    <tableColumn id="2" xr3:uid="{D91832CC-370D-44F4-8A7D-E808C102E789}" name="Correlation with Crude Oil MoM" dataDxfId="2"/>
    <tableColumn id="3" xr3:uid="{5FCCD9DF-93F7-4E63-91A2-FA7E7CE86F30}" name="Interpretatio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B9AACE5-2216-47DA-8FE4-B77D9510BA1F}" name="Table36" displayName="Table36" ref="L97:N103" totalsRowShown="0" headerRowDxfId="1">
  <tableColumns count="3">
    <tableColumn id="1" xr3:uid="{52EC643F-AF35-4C79-B107-86C7AE0CA9CF}" name="Category"/>
    <tableColumn id="2" xr3:uid="{9DCC63B9-BA74-425D-A566-45043A5251A7}" name="Correlation with Crude Oil MoM" dataDxfId="0"/>
    <tableColumn id="3" xr3:uid="{C9FF8938-3FCA-4EAF-9D4E-F0992B6D1660}" name="Interpretation"/>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EF7C5E4-0189-428D-8159-71BEA5C3056B}" name="CrudeOilTable" displayName="CrudeOilTable" ref="A1:E30">
  <tableColumns count="5">
    <tableColumn id="1" xr3:uid="{00000000-0010-0000-0000-000001000000}" name="Date"/>
    <tableColumn id="2" xr3:uid="{00000000-0010-0000-0000-000002000000}" name="Year"/>
    <tableColumn id="3" xr3:uid="{00000000-0010-0000-0000-000003000000}" name="Month"/>
    <tableColumn id="4" xr3:uid="{00000000-0010-0000-0000-000004000000}" name="Indian Basket Crude Oil ($/bbl)"/>
    <tableColumn id="5" xr3:uid="{00000000-0010-0000-0000-000005000000}" name="MoM Change (%)"/>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F905A-D436-4CD2-988B-EE249A39781B}">
  <dimension ref="A1:I29"/>
  <sheetViews>
    <sheetView workbookViewId="0">
      <selection activeCell="D32" sqref="D32"/>
    </sheetView>
  </sheetViews>
  <sheetFormatPr defaultRowHeight="14.4" x14ac:dyDescent="0.3"/>
  <cols>
    <col min="1" max="1" width="31" bestFit="1" customWidth="1"/>
    <col min="2" max="2" width="13.44140625" bestFit="1" customWidth="1"/>
    <col min="3" max="3" width="6" customWidth="1"/>
    <col min="4" max="4" width="35.44140625" bestFit="1" customWidth="1"/>
    <col min="5" max="5" width="31" bestFit="1" customWidth="1"/>
    <col min="6" max="6" width="22.109375" bestFit="1" customWidth="1"/>
    <col min="7" max="8" width="17.5546875" bestFit="1" customWidth="1"/>
    <col min="9" max="126" width="15.5546875" bestFit="1" customWidth="1"/>
    <col min="127" max="127" width="10.77734375" bestFit="1" customWidth="1"/>
  </cols>
  <sheetData>
    <row r="1" spans="1:3" x14ac:dyDescent="0.3">
      <c r="A1" s="8" t="s">
        <v>1</v>
      </c>
      <c r="B1" s="9">
        <v>2023</v>
      </c>
      <c r="C1" s="9"/>
    </row>
    <row r="2" spans="1:3" x14ac:dyDescent="0.3">
      <c r="A2" s="8" t="s">
        <v>2</v>
      </c>
      <c r="B2" t="s">
        <v>38</v>
      </c>
    </row>
    <row r="3" spans="1:3" x14ac:dyDescent="0.3">
      <c r="A3" s="8" t="s">
        <v>0</v>
      </c>
      <c r="B3" t="s">
        <v>34</v>
      </c>
    </row>
    <row r="5" spans="1:3" x14ac:dyDescent="0.3">
      <c r="A5" s="8" t="s">
        <v>89</v>
      </c>
    </row>
    <row r="6" spans="1:3" x14ac:dyDescent="0.3">
      <c r="A6" s="9" t="s">
        <v>86</v>
      </c>
      <c r="B6">
        <v>179.1</v>
      </c>
    </row>
    <row r="7" spans="1:3" x14ac:dyDescent="0.3">
      <c r="A7" s="9" t="s">
        <v>88</v>
      </c>
      <c r="B7">
        <v>175.7</v>
      </c>
    </row>
    <row r="8" spans="1:3" x14ac:dyDescent="0.3">
      <c r="A8" s="9" t="s">
        <v>84</v>
      </c>
      <c r="B8">
        <v>201</v>
      </c>
    </row>
    <row r="9" spans="1:3" x14ac:dyDescent="0.3">
      <c r="A9" s="9" t="s">
        <v>90</v>
      </c>
      <c r="B9">
        <v>175.6</v>
      </c>
    </row>
    <row r="10" spans="1:3" x14ac:dyDescent="0.3">
      <c r="A10" s="9" t="s">
        <v>85</v>
      </c>
      <c r="B10">
        <v>182.8</v>
      </c>
    </row>
    <row r="11" spans="1:3" x14ac:dyDescent="0.3">
      <c r="A11" s="9" t="s">
        <v>87</v>
      </c>
      <c r="B11">
        <v>186.2</v>
      </c>
    </row>
    <row r="12" spans="1:3" x14ac:dyDescent="0.3">
      <c r="A12" s="9" t="s">
        <v>93</v>
      </c>
      <c r="B12">
        <f>SUM(B6:B11)</f>
        <v>1100.4000000000001</v>
      </c>
    </row>
    <row r="14" spans="1:3" ht="15" thickBot="1" x14ac:dyDescent="0.35">
      <c r="A14" s="12" t="s">
        <v>94</v>
      </c>
      <c r="B14" s="12" t="s">
        <v>96</v>
      </c>
    </row>
    <row r="15" spans="1:3" x14ac:dyDescent="0.3">
      <c r="A15" s="9" t="s">
        <v>86</v>
      </c>
      <c r="B15" s="11">
        <f>GETPIVOTDATA("Sum of Food and beverages",$A$5)/B12</f>
        <v>0.16275899672846236</v>
      </c>
    </row>
    <row r="16" spans="1:3" x14ac:dyDescent="0.3">
      <c r="A16" s="9" t="s">
        <v>88</v>
      </c>
      <c r="B16" s="11">
        <f>GETPIVOTDATA("Sum of Miscellaneous",$A$5)/B12</f>
        <v>0.15966921119592872</v>
      </c>
    </row>
    <row r="17" spans="1:9" x14ac:dyDescent="0.3">
      <c r="A17" s="9" t="s">
        <v>84</v>
      </c>
      <c r="B17" s="11">
        <f>GETPIVOTDATA("Sum of Pan, tobacco and intoxicants",$A$5)/B12</f>
        <v>0.18266085059978188</v>
      </c>
    </row>
    <row r="18" spans="1:9" x14ac:dyDescent="0.3">
      <c r="A18" s="9" t="s">
        <v>90</v>
      </c>
      <c r="B18" s="11">
        <f>GETPIVOTDATA("Sum of Housing",$A$5)/B12</f>
        <v>0.15957833515085421</v>
      </c>
    </row>
    <row r="19" spans="1:9" x14ac:dyDescent="0.3">
      <c r="A19" s="9" t="s">
        <v>85</v>
      </c>
      <c r="B19" s="11">
        <f>GETPIVOTDATA("Sum of Fuel and light",$A$5)/B12</f>
        <v>0.16612141039621955</v>
      </c>
    </row>
    <row r="20" spans="1:9" x14ac:dyDescent="0.3">
      <c r="A20" s="9" t="s">
        <v>87</v>
      </c>
      <c r="B20" s="11">
        <f>GETPIVOTDATA("Sum of Clothing and footwear",$A$5)/B12</f>
        <v>0.16921119592875317</v>
      </c>
    </row>
    <row r="21" spans="1:9" ht="15" thickBot="1" x14ac:dyDescent="0.35">
      <c r="A21" s="13" t="s">
        <v>95</v>
      </c>
      <c r="B21" s="14">
        <f>SUM(B15:B20)</f>
        <v>0.99999999999999978</v>
      </c>
    </row>
    <row r="22" spans="1:9" ht="15" thickTop="1" x14ac:dyDescent="0.3"/>
    <row r="25" spans="1:9" x14ac:dyDescent="0.3">
      <c r="A25" s="48" t="s">
        <v>92</v>
      </c>
      <c r="B25" s="51" t="s">
        <v>97</v>
      </c>
      <c r="C25" s="51"/>
      <c r="D25" s="51"/>
      <c r="E25" s="51"/>
      <c r="F25" s="51"/>
      <c r="G25" s="51"/>
      <c r="H25" s="51"/>
      <c r="I25" s="51"/>
    </row>
    <row r="26" spans="1:9" x14ac:dyDescent="0.3">
      <c r="A26" s="48"/>
      <c r="B26" s="51"/>
      <c r="C26" s="51"/>
      <c r="D26" s="51"/>
      <c r="E26" s="51"/>
      <c r="F26" s="51"/>
      <c r="G26" s="51"/>
      <c r="H26" s="51"/>
      <c r="I26" s="51"/>
    </row>
    <row r="27" spans="1:9" x14ac:dyDescent="0.3">
      <c r="A27" s="48"/>
      <c r="B27" s="51"/>
      <c r="C27" s="51"/>
      <c r="D27" s="51"/>
      <c r="E27" s="51"/>
      <c r="F27" s="51"/>
      <c r="G27" s="51"/>
      <c r="H27" s="51"/>
      <c r="I27" s="51"/>
    </row>
    <row r="29" spans="1:9" x14ac:dyDescent="0.3">
      <c r="A29" s="15" t="s">
        <v>98</v>
      </c>
      <c r="B29" s="52" t="s">
        <v>99</v>
      </c>
      <c r="C29" s="52"/>
      <c r="D29" s="52"/>
      <c r="E29" s="52"/>
      <c r="F29" s="52"/>
      <c r="G29" s="52"/>
    </row>
  </sheetData>
  <mergeCells count="3">
    <mergeCell ref="A25:A27"/>
    <mergeCell ref="B25:I27"/>
    <mergeCell ref="B29:G29"/>
  </mergeCell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B7A42-4DF0-493A-ADF1-9C48BD35957C}">
  <dimension ref="A1:M26"/>
  <sheetViews>
    <sheetView workbookViewId="0">
      <selection activeCell="A24" sqref="A24:M26"/>
    </sheetView>
  </sheetViews>
  <sheetFormatPr defaultRowHeight="14.4" x14ac:dyDescent="0.3"/>
  <cols>
    <col min="1" max="1" width="12.5546875" bestFit="1" customWidth="1"/>
    <col min="2" max="2" width="19.109375" bestFit="1" customWidth="1"/>
    <col min="3" max="3" width="18.5546875" bestFit="1" customWidth="1"/>
    <col min="4" max="4" width="13.109375" customWidth="1"/>
    <col min="5" max="5" width="19.77734375" customWidth="1"/>
    <col min="6" max="6" width="22.77734375" customWidth="1"/>
  </cols>
  <sheetData>
    <row r="1" spans="1:5" x14ac:dyDescent="0.3">
      <c r="A1" s="3" t="s">
        <v>1</v>
      </c>
      <c r="B1" s="3" t="s">
        <v>102</v>
      </c>
    </row>
    <row r="2" spans="1:5" x14ac:dyDescent="0.3">
      <c r="A2">
        <v>2017</v>
      </c>
      <c r="B2" s="16">
        <v>2.1772939346811911E-2</v>
      </c>
      <c r="E2" s="16"/>
    </row>
    <row r="3" spans="1:5" x14ac:dyDescent="0.3">
      <c r="A3">
        <v>2018</v>
      </c>
      <c r="B3" s="16">
        <v>4.8706240487062444E-2</v>
      </c>
      <c r="E3" s="16"/>
    </row>
    <row r="4" spans="1:5" x14ac:dyDescent="0.3">
      <c r="A4">
        <v>2019</v>
      </c>
      <c r="B4" s="16">
        <v>3.0478955007256808E-2</v>
      </c>
      <c r="E4" s="16"/>
    </row>
    <row r="5" spans="1:5" x14ac:dyDescent="0.3">
      <c r="A5">
        <v>2020</v>
      </c>
      <c r="B5" s="16">
        <v>6.3380281690140844E-2</v>
      </c>
      <c r="E5" s="16"/>
    </row>
    <row r="6" spans="1:5" x14ac:dyDescent="0.3">
      <c r="A6">
        <v>2021</v>
      </c>
      <c r="B6" s="16">
        <v>6.2251655629139112E-2</v>
      </c>
      <c r="E6" s="16"/>
    </row>
    <row r="7" spans="1:5" x14ac:dyDescent="0.3">
      <c r="A7">
        <v>2022</v>
      </c>
      <c r="B7" s="16">
        <v>7.0448877805486171E-2</v>
      </c>
      <c r="E7" s="16"/>
    </row>
    <row r="8" spans="1:5" x14ac:dyDescent="0.3">
      <c r="A8">
        <v>2023</v>
      </c>
      <c r="B8" s="16">
        <v>4.3098427489807842E-2</v>
      </c>
      <c r="E8" s="16"/>
    </row>
    <row r="10" spans="1:5" x14ac:dyDescent="0.3">
      <c r="A10" s="8" t="s">
        <v>2</v>
      </c>
      <c r="B10" t="s">
        <v>38</v>
      </c>
    </row>
    <row r="11" spans="1:5" x14ac:dyDescent="0.3">
      <c r="A11" s="8" t="s">
        <v>0</v>
      </c>
      <c r="B11" t="s">
        <v>34</v>
      </c>
    </row>
    <row r="13" spans="1:5" x14ac:dyDescent="0.3">
      <c r="A13" s="8" t="s">
        <v>103</v>
      </c>
      <c r="B13" t="s">
        <v>104</v>
      </c>
    </row>
    <row r="14" spans="1:5" x14ac:dyDescent="0.3">
      <c r="A14" s="9">
        <v>2017</v>
      </c>
      <c r="B14">
        <v>131.4</v>
      </c>
    </row>
    <row r="15" spans="1:5" x14ac:dyDescent="0.3">
      <c r="A15" s="9">
        <v>2018</v>
      </c>
      <c r="B15">
        <v>137.80000000000001</v>
      </c>
      <c r="C15" s="17"/>
    </row>
    <row r="16" spans="1:5" x14ac:dyDescent="0.3">
      <c r="A16" s="9">
        <v>2019</v>
      </c>
      <c r="B16">
        <v>142</v>
      </c>
      <c r="C16" s="17"/>
    </row>
    <row r="17" spans="1:13" x14ac:dyDescent="0.3">
      <c r="A17" s="9">
        <v>2020</v>
      </c>
      <c r="B17">
        <v>151</v>
      </c>
      <c r="C17" s="17"/>
    </row>
    <row r="18" spans="1:13" x14ac:dyDescent="0.3">
      <c r="A18" s="9">
        <v>2021</v>
      </c>
      <c r="B18">
        <v>160.4</v>
      </c>
      <c r="C18" s="17"/>
    </row>
    <row r="19" spans="1:13" x14ac:dyDescent="0.3">
      <c r="A19" s="9">
        <v>2022</v>
      </c>
      <c r="B19">
        <v>171.7</v>
      </c>
      <c r="C19" s="17"/>
    </row>
    <row r="20" spans="1:13" x14ac:dyDescent="0.3">
      <c r="A20" s="9">
        <v>2023</v>
      </c>
      <c r="B20">
        <v>179.1</v>
      </c>
      <c r="C20" s="17"/>
    </row>
    <row r="21" spans="1:13" x14ac:dyDescent="0.3">
      <c r="A21" s="9" t="s">
        <v>95</v>
      </c>
      <c r="B21">
        <v>1073.3999999999999</v>
      </c>
      <c r="C21" s="17"/>
    </row>
    <row r="24" spans="1:13" ht="14.4" customHeight="1" x14ac:dyDescent="0.3">
      <c r="A24" s="18"/>
      <c r="B24" s="50" t="s">
        <v>106</v>
      </c>
      <c r="C24" s="50"/>
      <c r="D24" s="50"/>
      <c r="E24" s="50"/>
      <c r="F24" s="50"/>
      <c r="G24" s="50"/>
      <c r="H24" s="50"/>
      <c r="I24" s="50"/>
      <c r="J24" s="50"/>
      <c r="K24" s="50"/>
      <c r="L24" s="50"/>
      <c r="M24" s="50"/>
    </row>
    <row r="25" spans="1:13" x14ac:dyDescent="0.3">
      <c r="A25" s="18" t="s">
        <v>105</v>
      </c>
      <c r="B25" s="50"/>
      <c r="C25" s="50"/>
      <c r="D25" s="50"/>
      <c r="E25" s="50"/>
      <c r="F25" s="50"/>
      <c r="G25" s="50"/>
      <c r="H25" s="50"/>
      <c r="I25" s="50"/>
      <c r="J25" s="50"/>
      <c r="K25" s="50"/>
      <c r="L25" s="50"/>
      <c r="M25" s="50"/>
    </row>
    <row r="26" spans="1:13" x14ac:dyDescent="0.3">
      <c r="A26" s="18"/>
      <c r="B26" s="50"/>
      <c r="C26" s="50"/>
      <c r="D26" s="50"/>
      <c r="E26" s="50"/>
      <c r="F26" s="50"/>
      <c r="G26" s="50"/>
      <c r="H26" s="50"/>
      <c r="I26" s="50"/>
      <c r="J26" s="50"/>
      <c r="K26" s="50"/>
      <c r="L26" s="50"/>
      <c r="M26" s="50"/>
    </row>
  </sheetData>
  <mergeCells count="1">
    <mergeCell ref="B24:M26"/>
  </mergeCells>
  <phoneticPr fontId="18" type="noConversion"/>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66169-2CE0-4EA7-A61A-39FF20F81DAE}">
  <dimension ref="A2:G40"/>
  <sheetViews>
    <sheetView topLeftCell="A13" zoomScale="98" workbookViewId="0">
      <selection activeCell="A35" sqref="A35:E40"/>
    </sheetView>
  </sheetViews>
  <sheetFormatPr defaultRowHeight="14.4" x14ac:dyDescent="0.3"/>
  <cols>
    <col min="1" max="1" width="30.44140625" bestFit="1" customWidth="1"/>
    <col min="2" max="4" width="16.109375" bestFit="1" customWidth="1"/>
    <col min="5" max="5" width="23.6640625" customWidth="1"/>
    <col min="6" max="6" width="16.109375" bestFit="1" customWidth="1"/>
    <col min="7" max="7" width="10.77734375" bestFit="1" customWidth="1"/>
    <col min="8" max="8" width="22.109375" bestFit="1" customWidth="1"/>
    <col min="11" max="11" width="13.6640625" customWidth="1"/>
  </cols>
  <sheetData>
    <row r="2" spans="1:7" ht="15" thickBot="1" x14ac:dyDescent="0.35">
      <c r="A2" s="12" t="s">
        <v>2</v>
      </c>
      <c r="B2" s="12" t="s">
        <v>1</v>
      </c>
      <c r="C2" s="12"/>
      <c r="D2" s="12" t="s">
        <v>108</v>
      </c>
      <c r="E2" s="12" t="s">
        <v>109</v>
      </c>
    </row>
    <row r="3" spans="1:7" x14ac:dyDescent="0.3">
      <c r="A3" t="s">
        <v>110</v>
      </c>
      <c r="B3">
        <v>2023</v>
      </c>
      <c r="D3">
        <v>176.7</v>
      </c>
      <c r="E3" s="11">
        <f>(D3-D14)/D14</f>
        <v>4.5480386583284984E-3</v>
      </c>
    </row>
    <row r="4" spans="1:7" x14ac:dyDescent="0.3">
      <c r="A4" t="s">
        <v>111</v>
      </c>
      <c r="B4">
        <v>2023</v>
      </c>
      <c r="D4">
        <v>177</v>
      </c>
      <c r="E4" s="11">
        <f>(D4-D3)/D3</f>
        <v>1.6977928692700134E-3</v>
      </c>
    </row>
    <row r="5" spans="1:7" x14ac:dyDescent="0.3">
      <c r="A5" t="s">
        <v>112</v>
      </c>
      <c r="B5">
        <v>2023</v>
      </c>
      <c r="D5">
        <v>177</v>
      </c>
      <c r="E5" s="11">
        <f t="shared" ref="E5:E14" si="0">(D5-D4)/D4</f>
        <v>0</v>
      </c>
    </row>
    <row r="6" spans="1:7" x14ac:dyDescent="0.3">
      <c r="A6" t="s">
        <v>113</v>
      </c>
      <c r="B6">
        <v>2023</v>
      </c>
      <c r="D6">
        <v>177.9</v>
      </c>
      <c r="E6" s="11">
        <f t="shared" si="0"/>
        <v>5.0847457627118961E-3</v>
      </c>
    </row>
    <row r="7" spans="1:7" x14ac:dyDescent="0.3">
      <c r="A7" t="s">
        <v>38</v>
      </c>
      <c r="B7">
        <v>2023</v>
      </c>
      <c r="D7">
        <v>179.1</v>
      </c>
      <c r="E7" s="11">
        <f t="shared" si="0"/>
        <v>6.7453625632377095E-3</v>
      </c>
    </row>
    <row r="8" spans="1:7" x14ac:dyDescent="0.3">
      <c r="A8" t="s">
        <v>114</v>
      </c>
      <c r="B8" s="22">
        <v>2022</v>
      </c>
      <c r="C8" s="22"/>
      <c r="D8" s="23">
        <v>174.9</v>
      </c>
      <c r="E8" s="24">
        <f t="shared" si="0"/>
        <v>-2.3450586264656553E-2</v>
      </c>
    </row>
    <row r="9" spans="1:7" x14ac:dyDescent="0.3">
      <c r="A9" t="s">
        <v>115</v>
      </c>
      <c r="B9">
        <v>2022</v>
      </c>
      <c r="D9">
        <v>175</v>
      </c>
      <c r="E9" s="11">
        <f t="shared" si="0"/>
        <v>5.7175528873638828E-4</v>
      </c>
    </row>
    <row r="10" spans="1:7" x14ac:dyDescent="0.3">
      <c r="A10" t="s">
        <v>116</v>
      </c>
      <c r="B10">
        <v>2022</v>
      </c>
      <c r="D10">
        <v>176.3</v>
      </c>
      <c r="E10" s="11">
        <f t="shared" si="0"/>
        <v>7.4285714285714935E-3</v>
      </c>
    </row>
    <row r="11" spans="1:7" x14ac:dyDescent="0.3">
      <c r="A11" t="s">
        <v>117</v>
      </c>
      <c r="B11">
        <v>2022</v>
      </c>
      <c r="D11">
        <v>177.8</v>
      </c>
      <c r="E11" s="16">
        <f t="shared" si="0"/>
        <v>8.5082246171298923E-3</v>
      </c>
    </row>
    <row r="12" spans="1:7" x14ac:dyDescent="0.3">
      <c r="A12" t="s">
        <v>118</v>
      </c>
      <c r="B12" s="19">
        <v>2022</v>
      </c>
      <c r="C12" s="19"/>
      <c r="D12" s="20">
        <v>179.6</v>
      </c>
      <c r="E12" s="21">
        <f t="shared" si="0"/>
        <v>1.0123734533183255E-2</v>
      </c>
    </row>
    <row r="13" spans="1:7" x14ac:dyDescent="0.3">
      <c r="A13" t="s">
        <v>119</v>
      </c>
      <c r="B13">
        <v>2022</v>
      </c>
      <c r="D13">
        <v>178.3</v>
      </c>
      <c r="E13" s="11">
        <f t="shared" si="0"/>
        <v>-7.2383073496658295E-3</v>
      </c>
    </row>
    <row r="14" spans="1:7" x14ac:dyDescent="0.3">
      <c r="A14" t="s">
        <v>120</v>
      </c>
      <c r="B14">
        <v>2022</v>
      </c>
      <c r="D14">
        <v>175.9</v>
      </c>
      <c r="E14" s="11">
        <f t="shared" si="0"/>
        <v>-1.3460459899046581E-2</v>
      </c>
    </row>
    <row r="16" spans="1:7" ht="14.4" customHeight="1" x14ac:dyDescent="0.3">
      <c r="A16" s="28"/>
      <c r="B16" s="45" t="s">
        <v>129</v>
      </c>
      <c r="C16" s="45"/>
      <c r="D16" s="45"/>
      <c r="E16" s="45"/>
      <c r="F16" s="45"/>
      <c r="G16" s="45"/>
    </row>
    <row r="17" spans="1:7" x14ac:dyDescent="0.3">
      <c r="A17" s="28" t="s">
        <v>105</v>
      </c>
      <c r="B17" s="45"/>
      <c r="C17" s="45"/>
      <c r="D17" s="45"/>
      <c r="E17" s="45"/>
      <c r="F17" s="45"/>
      <c r="G17" s="45"/>
    </row>
    <row r="18" spans="1:7" x14ac:dyDescent="0.3">
      <c r="A18" s="28"/>
      <c r="B18" s="45"/>
      <c r="C18" s="45"/>
      <c r="D18" s="45"/>
      <c r="E18" s="45"/>
      <c r="F18" s="45"/>
      <c r="G18" s="45"/>
    </row>
    <row r="21" spans="1:7" ht="15" thickBot="1" x14ac:dyDescent="0.35">
      <c r="A21" s="12" t="s">
        <v>121</v>
      </c>
      <c r="B21" s="27">
        <v>44682</v>
      </c>
      <c r="C21" s="27">
        <v>45047</v>
      </c>
      <c r="D21" s="12" t="s">
        <v>128</v>
      </c>
    </row>
    <row r="22" spans="1:7" x14ac:dyDescent="0.3">
      <c r="A22" t="s">
        <v>122</v>
      </c>
      <c r="B22">
        <v>154.1</v>
      </c>
      <c r="C22">
        <v>173.7</v>
      </c>
      <c r="D22" s="17">
        <f>C22-B22</f>
        <v>19.599999999999994</v>
      </c>
    </row>
    <row r="23" spans="1:7" x14ac:dyDescent="0.3">
      <c r="A23" t="s">
        <v>123</v>
      </c>
      <c r="B23">
        <v>217</v>
      </c>
      <c r="C23">
        <v>214.3</v>
      </c>
      <c r="D23" s="17">
        <f t="shared" ref="D23:D33" si="1">C23-B23</f>
        <v>-2.6999999999999886</v>
      </c>
    </row>
    <row r="24" spans="1:7" x14ac:dyDescent="0.3">
      <c r="A24" t="s">
        <v>5</v>
      </c>
      <c r="B24">
        <v>162.4</v>
      </c>
      <c r="C24">
        <v>173.2</v>
      </c>
      <c r="D24" s="17">
        <f t="shared" si="1"/>
        <v>10.799999999999983</v>
      </c>
    </row>
    <row r="25" spans="1:7" x14ac:dyDescent="0.3">
      <c r="A25" t="s">
        <v>124</v>
      </c>
      <c r="B25">
        <v>164.9</v>
      </c>
      <c r="C25">
        <v>179.5</v>
      </c>
      <c r="D25" s="17">
        <f t="shared" si="1"/>
        <v>14.599999999999994</v>
      </c>
    </row>
    <row r="26" spans="1:7" x14ac:dyDescent="0.3">
      <c r="A26" s="22" t="s">
        <v>125</v>
      </c>
      <c r="B26" s="22">
        <v>202.4</v>
      </c>
      <c r="C26" s="22">
        <v>170</v>
      </c>
      <c r="D26" s="25">
        <f t="shared" si="1"/>
        <v>-32.400000000000006</v>
      </c>
    </row>
    <row r="27" spans="1:7" x14ac:dyDescent="0.3">
      <c r="A27" t="s">
        <v>8</v>
      </c>
      <c r="B27">
        <v>171</v>
      </c>
      <c r="C27">
        <v>172.2</v>
      </c>
      <c r="D27" s="17">
        <f t="shared" si="1"/>
        <v>1.1999999999999886</v>
      </c>
    </row>
    <row r="28" spans="1:7" x14ac:dyDescent="0.3">
      <c r="A28" t="s">
        <v>9</v>
      </c>
      <c r="B28">
        <v>174.9</v>
      </c>
      <c r="C28">
        <v>161</v>
      </c>
      <c r="D28" s="17">
        <f t="shared" si="1"/>
        <v>-13.900000000000006</v>
      </c>
    </row>
    <row r="29" spans="1:7" x14ac:dyDescent="0.3">
      <c r="A29" t="s">
        <v>126</v>
      </c>
      <c r="B29">
        <v>164.7</v>
      </c>
      <c r="C29">
        <v>175.6</v>
      </c>
      <c r="D29" s="17">
        <f t="shared" si="1"/>
        <v>10.900000000000006</v>
      </c>
    </row>
    <row r="30" spans="1:7" x14ac:dyDescent="0.3">
      <c r="A30" t="s">
        <v>127</v>
      </c>
      <c r="B30">
        <v>119.7</v>
      </c>
      <c r="C30">
        <v>122.7</v>
      </c>
      <c r="D30" s="17">
        <f t="shared" si="1"/>
        <v>3</v>
      </c>
    </row>
    <row r="31" spans="1:7" x14ac:dyDescent="0.3">
      <c r="A31" s="19" t="s">
        <v>12</v>
      </c>
      <c r="B31" s="19">
        <v>184.9</v>
      </c>
      <c r="C31" s="19">
        <v>218</v>
      </c>
      <c r="D31" s="26">
        <f t="shared" si="1"/>
        <v>33.099999999999994</v>
      </c>
    </row>
    <row r="32" spans="1:7" x14ac:dyDescent="0.3">
      <c r="A32" t="s">
        <v>13</v>
      </c>
      <c r="B32">
        <v>167.1</v>
      </c>
      <c r="C32">
        <v>173.4</v>
      </c>
      <c r="D32" s="17">
        <f t="shared" si="1"/>
        <v>6.3000000000000114</v>
      </c>
    </row>
    <row r="33" spans="1:5" x14ac:dyDescent="0.3">
      <c r="A33" t="s">
        <v>14</v>
      </c>
      <c r="B33">
        <v>182.5</v>
      </c>
      <c r="C33">
        <v>194.2</v>
      </c>
      <c r="D33" s="17">
        <f t="shared" si="1"/>
        <v>11.699999999999989</v>
      </c>
    </row>
    <row r="35" spans="1:5" ht="14.4" customHeight="1" x14ac:dyDescent="0.3">
      <c r="A35" s="29"/>
      <c r="B35" s="53" t="s">
        <v>130</v>
      </c>
      <c r="C35" s="53"/>
      <c r="D35" s="53"/>
      <c r="E35" s="53"/>
    </row>
    <row r="36" spans="1:5" x14ac:dyDescent="0.3">
      <c r="A36" s="29" t="s">
        <v>105</v>
      </c>
      <c r="B36" s="53"/>
      <c r="C36" s="53"/>
      <c r="D36" s="53"/>
      <c r="E36" s="53"/>
    </row>
    <row r="37" spans="1:5" x14ac:dyDescent="0.3">
      <c r="A37" s="29"/>
      <c r="B37" s="53"/>
      <c r="C37" s="53"/>
      <c r="D37" s="53"/>
      <c r="E37" s="53"/>
    </row>
    <row r="38" spans="1:5" x14ac:dyDescent="0.3">
      <c r="A38" s="29"/>
      <c r="B38" s="53"/>
      <c r="C38" s="53"/>
      <c r="D38" s="53"/>
      <c r="E38" s="53"/>
    </row>
    <row r="39" spans="1:5" x14ac:dyDescent="0.3">
      <c r="A39" s="29"/>
      <c r="B39" s="53"/>
      <c r="C39" s="53"/>
      <c r="D39" s="53"/>
      <c r="E39" s="53"/>
    </row>
    <row r="40" spans="1:5" x14ac:dyDescent="0.3">
      <c r="A40" s="29"/>
      <c r="B40" s="53"/>
      <c r="C40" s="53"/>
      <c r="D40" s="53"/>
      <c r="E40" s="53"/>
    </row>
  </sheetData>
  <mergeCells count="2">
    <mergeCell ref="B16:G18"/>
    <mergeCell ref="B35:E40"/>
  </mergeCells>
  <phoneticPr fontId="18"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9E08D-83E2-4020-BC94-0AA8EC82E881}">
  <dimension ref="A3:Q79"/>
  <sheetViews>
    <sheetView topLeftCell="B9" zoomScale="107" zoomScaleNormal="100" workbookViewId="0">
      <selection activeCell="H36" sqref="H34:M38"/>
    </sheetView>
  </sheetViews>
  <sheetFormatPr defaultRowHeight="14.4" x14ac:dyDescent="0.3"/>
  <cols>
    <col min="1" max="1" width="12.5546875" bestFit="1" customWidth="1"/>
    <col min="2" max="2" width="22.33203125" bestFit="1" customWidth="1"/>
    <col min="3" max="3" width="18.88671875" bestFit="1" customWidth="1"/>
    <col min="4" max="5" width="18.88671875" customWidth="1"/>
    <col min="6" max="6" width="19.109375" customWidth="1"/>
    <col min="7" max="7" width="15.5546875" customWidth="1"/>
    <col min="8" max="8" width="12.21875" bestFit="1" customWidth="1"/>
    <col min="9" max="9" width="19.77734375" customWidth="1"/>
    <col min="10" max="10" width="16.77734375" customWidth="1"/>
    <col min="11" max="11" width="24.21875" customWidth="1"/>
    <col min="12" max="12" width="15.5546875" bestFit="1" customWidth="1"/>
    <col min="13" max="13" width="16.6640625" bestFit="1" customWidth="1"/>
    <col min="14" max="17" width="15.5546875" customWidth="1"/>
    <col min="18" max="18" width="12.21875" bestFit="1" customWidth="1"/>
  </cols>
  <sheetData>
    <row r="3" spans="1:17" x14ac:dyDescent="0.3">
      <c r="H3" s="8" t="s">
        <v>0</v>
      </c>
      <c r="I3" t="s">
        <v>34</v>
      </c>
      <c r="Q3" s="16"/>
    </row>
    <row r="4" spans="1:17" x14ac:dyDescent="0.3">
      <c r="Q4" s="16"/>
    </row>
    <row r="5" spans="1:17" ht="15" thickBot="1" x14ac:dyDescent="0.35">
      <c r="A5" s="12" t="s">
        <v>1</v>
      </c>
      <c r="B5" s="12" t="s">
        <v>2</v>
      </c>
      <c r="C5" s="12" t="s">
        <v>107</v>
      </c>
      <c r="D5" s="12" t="s">
        <v>131</v>
      </c>
      <c r="E5" s="12" t="s">
        <v>137</v>
      </c>
      <c r="F5" s="12" t="s">
        <v>138</v>
      </c>
      <c r="I5" s="8" t="s">
        <v>136</v>
      </c>
    </row>
    <row r="6" spans="1:17" x14ac:dyDescent="0.3">
      <c r="A6" s="9">
        <v>2016</v>
      </c>
      <c r="B6" s="9" t="s">
        <v>36</v>
      </c>
      <c r="C6" s="9" t="str">
        <f>_xlfn.CONCAT(B6,"-",A6)</f>
        <v>March-2016</v>
      </c>
      <c r="D6">
        <v>126</v>
      </c>
      <c r="E6" s="16"/>
      <c r="F6" t="s">
        <v>132</v>
      </c>
      <c r="I6" t="s">
        <v>36</v>
      </c>
    </row>
    <row r="7" spans="1:17" x14ac:dyDescent="0.3">
      <c r="A7" s="9">
        <v>2017</v>
      </c>
      <c r="B7" s="9" t="s">
        <v>36</v>
      </c>
      <c r="C7" s="9" t="str">
        <f t="shared" ref="C7:C13" si="0">_xlfn.CONCAT(B7,"-",A7)</f>
        <v>March-2017</v>
      </c>
      <c r="D7">
        <v>130.9</v>
      </c>
      <c r="E7" s="16">
        <f>(D7-D6)/D6</f>
        <v>3.8888888888888931E-2</v>
      </c>
      <c r="F7" t="s">
        <v>132</v>
      </c>
      <c r="H7" s="8" t="s">
        <v>103</v>
      </c>
      <c r="I7" t="s">
        <v>135</v>
      </c>
      <c r="J7" t="s">
        <v>85</v>
      </c>
      <c r="K7" t="s">
        <v>86</v>
      </c>
    </row>
    <row r="8" spans="1:17" x14ac:dyDescent="0.3">
      <c r="A8" s="9">
        <v>2018</v>
      </c>
      <c r="B8" s="9" t="s">
        <v>36</v>
      </c>
      <c r="C8" s="9" t="str">
        <f t="shared" si="0"/>
        <v>March-2018</v>
      </c>
      <c r="D8">
        <v>136.5</v>
      </c>
      <c r="E8" s="16">
        <f t="shared" ref="E8:E13" si="1">(D8-D7)/D7</f>
        <v>4.278074866310156E-2</v>
      </c>
      <c r="F8" t="s">
        <v>132</v>
      </c>
      <c r="H8" s="9">
        <v>2016</v>
      </c>
      <c r="I8">
        <v>122.9</v>
      </c>
      <c r="J8">
        <v>122.4</v>
      </c>
      <c r="K8">
        <v>129.80000000000001</v>
      </c>
    </row>
    <row r="9" spans="1:17" x14ac:dyDescent="0.3">
      <c r="A9" s="9">
        <v>2019</v>
      </c>
      <c r="B9" s="9" t="s">
        <v>36</v>
      </c>
      <c r="C9" s="9" t="str">
        <f t="shared" si="0"/>
        <v>March-2019</v>
      </c>
      <c r="D9">
        <v>140.4</v>
      </c>
      <c r="E9" s="16">
        <f t="shared" si="1"/>
        <v>2.8571428571428612E-2</v>
      </c>
      <c r="F9" t="s">
        <v>132</v>
      </c>
      <c r="H9" s="9">
        <v>2017</v>
      </c>
      <c r="I9">
        <v>127.8</v>
      </c>
      <c r="J9">
        <v>129.1</v>
      </c>
      <c r="K9">
        <v>133.1</v>
      </c>
    </row>
    <row r="10" spans="1:17" x14ac:dyDescent="0.3">
      <c r="A10" s="31">
        <v>2020</v>
      </c>
      <c r="B10" s="31" t="s">
        <v>36</v>
      </c>
      <c r="C10" s="31" t="str">
        <f t="shared" si="0"/>
        <v>March-2020</v>
      </c>
      <c r="D10" s="32">
        <v>148.6</v>
      </c>
      <c r="E10" s="33">
        <f t="shared" si="1"/>
        <v>5.840455840455832E-2</v>
      </c>
      <c r="F10" s="30" t="s">
        <v>133</v>
      </c>
      <c r="H10" s="9">
        <v>2018</v>
      </c>
      <c r="I10">
        <v>134.30000000000001</v>
      </c>
      <c r="J10">
        <v>136.5</v>
      </c>
      <c r="K10">
        <v>137.19999999999999</v>
      </c>
    </row>
    <row r="11" spans="1:17" x14ac:dyDescent="0.3">
      <c r="A11" s="9">
        <v>2021</v>
      </c>
      <c r="B11" s="9" t="s">
        <v>36</v>
      </c>
      <c r="C11" s="9" t="str">
        <f t="shared" si="0"/>
        <v>March-2021</v>
      </c>
      <c r="D11">
        <v>156.80000000000001</v>
      </c>
      <c r="E11" s="16">
        <f t="shared" si="1"/>
        <v>5.5181695827725558E-2</v>
      </c>
      <c r="F11" t="s">
        <v>134</v>
      </c>
      <c r="H11" s="9">
        <v>2019</v>
      </c>
      <c r="I11">
        <v>146.19999999999999</v>
      </c>
      <c r="J11">
        <v>139.69999999999999</v>
      </c>
      <c r="K11">
        <v>138.1</v>
      </c>
    </row>
    <row r="12" spans="1:17" x14ac:dyDescent="0.3">
      <c r="A12" s="9">
        <v>2022</v>
      </c>
      <c r="B12" s="9" t="s">
        <v>36</v>
      </c>
      <c r="C12" s="9" t="str">
        <f t="shared" si="0"/>
        <v>March-2022</v>
      </c>
      <c r="D12">
        <v>167.7</v>
      </c>
      <c r="E12" s="16">
        <f t="shared" si="1"/>
        <v>6.9515306122448828E-2</v>
      </c>
      <c r="F12" t="s">
        <v>134</v>
      </c>
      <c r="H12" s="9">
        <v>2020</v>
      </c>
      <c r="I12">
        <v>152.30000000000001</v>
      </c>
      <c r="J12">
        <v>148.9</v>
      </c>
      <c r="K12">
        <v>148.9</v>
      </c>
    </row>
    <row r="13" spans="1:17" x14ac:dyDescent="0.3">
      <c r="A13" s="9">
        <v>2023</v>
      </c>
      <c r="B13" s="9" t="s">
        <v>36</v>
      </c>
      <c r="C13" s="9" t="str">
        <f t="shared" si="0"/>
        <v>March-2023</v>
      </c>
      <c r="D13">
        <v>177.2</v>
      </c>
      <c r="E13" s="16">
        <f t="shared" si="1"/>
        <v>5.6648777579010143E-2</v>
      </c>
      <c r="F13" t="s">
        <v>134</v>
      </c>
      <c r="H13" s="9">
        <v>2021</v>
      </c>
      <c r="I13">
        <v>161.69999999999999</v>
      </c>
      <c r="J13">
        <v>155.5</v>
      </c>
      <c r="K13">
        <v>156.69999999999999</v>
      </c>
    </row>
    <row r="14" spans="1:17" x14ac:dyDescent="0.3">
      <c r="H14" s="9">
        <v>2022</v>
      </c>
      <c r="I14">
        <v>173</v>
      </c>
      <c r="J14">
        <v>167.2</v>
      </c>
      <c r="K14">
        <v>168.4</v>
      </c>
    </row>
    <row r="15" spans="1:17" x14ac:dyDescent="0.3">
      <c r="H15" s="9">
        <v>2023</v>
      </c>
      <c r="I15">
        <v>184.4</v>
      </c>
      <c r="J15">
        <v>181.9</v>
      </c>
      <c r="K15">
        <v>177</v>
      </c>
    </row>
    <row r="16" spans="1:17" x14ac:dyDescent="0.3">
      <c r="H16" s="9" t="s">
        <v>95</v>
      </c>
      <c r="I16">
        <v>1202.6000000000001</v>
      </c>
      <c r="J16">
        <v>1181.2</v>
      </c>
      <c r="K16">
        <v>1189.1999999999998</v>
      </c>
    </row>
    <row r="25" spans="17:17" x14ac:dyDescent="0.3">
      <c r="Q25" s="16"/>
    </row>
    <row r="26" spans="17:17" x14ac:dyDescent="0.3">
      <c r="Q26" s="16"/>
    </row>
    <row r="27" spans="17:17" x14ac:dyDescent="0.3">
      <c r="Q27" s="16"/>
    </row>
    <row r="28" spans="17:17" x14ac:dyDescent="0.3">
      <c r="Q28" s="16"/>
    </row>
    <row r="29" spans="17:17" x14ac:dyDescent="0.3">
      <c r="Q29" s="16"/>
    </row>
    <row r="30" spans="17:17" x14ac:dyDescent="0.3">
      <c r="Q30" s="16"/>
    </row>
    <row r="31" spans="17:17" x14ac:dyDescent="0.3">
      <c r="Q31" s="16"/>
    </row>
    <row r="32" spans="17:17" x14ac:dyDescent="0.3">
      <c r="Q32" s="16"/>
    </row>
    <row r="33" spans="1:17" x14ac:dyDescent="0.3">
      <c r="A33" s="34" t="s">
        <v>139</v>
      </c>
      <c r="B33" s="34" t="s">
        <v>140</v>
      </c>
      <c r="C33" s="34"/>
      <c r="D33" s="34"/>
      <c r="E33" s="34"/>
      <c r="F33" s="34"/>
      <c r="Q33" s="16"/>
    </row>
    <row r="34" spans="1:17" ht="20.399999999999999" customHeight="1" x14ac:dyDescent="0.3">
      <c r="A34" s="34"/>
      <c r="B34" s="34" t="s">
        <v>141</v>
      </c>
      <c r="C34" s="34"/>
      <c r="D34" s="34"/>
      <c r="E34" s="34"/>
      <c r="F34" s="34"/>
      <c r="H34" s="35"/>
      <c r="I34" s="54" t="s">
        <v>145</v>
      </c>
      <c r="J34" s="54"/>
      <c r="K34" s="54"/>
      <c r="L34" s="54"/>
      <c r="M34" s="54"/>
      <c r="Q34" s="16"/>
    </row>
    <row r="35" spans="1:17" x14ac:dyDescent="0.3">
      <c r="H35" s="35"/>
      <c r="I35" s="54"/>
      <c r="J35" s="54"/>
      <c r="K35" s="54"/>
      <c r="L35" s="54"/>
      <c r="M35" s="54"/>
      <c r="Q35" s="16"/>
    </row>
    <row r="36" spans="1:17" x14ac:dyDescent="0.3">
      <c r="A36" s="34" t="s">
        <v>142</v>
      </c>
      <c r="B36" s="34" t="s">
        <v>143</v>
      </c>
      <c r="C36" s="34"/>
      <c r="D36" s="34"/>
      <c r="E36" s="34"/>
      <c r="F36" s="34"/>
      <c r="H36" s="35" t="s">
        <v>105</v>
      </c>
      <c r="I36" s="54"/>
      <c r="J36" s="54"/>
      <c r="K36" s="54"/>
      <c r="L36" s="54"/>
      <c r="M36" s="54"/>
      <c r="Q36" s="16"/>
    </row>
    <row r="37" spans="1:17" x14ac:dyDescent="0.3">
      <c r="A37" s="34"/>
      <c r="B37" s="34" t="s">
        <v>144</v>
      </c>
      <c r="C37" s="34"/>
      <c r="D37" s="34"/>
      <c r="E37" s="34"/>
      <c r="F37" s="34"/>
      <c r="H37" s="35"/>
      <c r="I37" s="54"/>
      <c r="J37" s="54"/>
      <c r="K37" s="54"/>
      <c r="L37" s="54"/>
      <c r="M37" s="54"/>
      <c r="Q37" s="16"/>
    </row>
    <row r="38" spans="1:17" x14ac:dyDescent="0.3">
      <c r="H38" s="35"/>
      <c r="I38" s="54"/>
      <c r="J38" s="54"/>
      <c r="K38" s="54"/>
      <c r="L38" s="54"/>
      <c r="M38" s="54"/>
      <c r="Q38" s="16"/>
    </row>
    <row r="39" spans="1:17" x14ac:dyDescent="0.3">
      <c r="Q39" s="16"/>
    </row>
    <row r="40" spans="1:17" x14ac:dyDescent="0.3">
      <c r="Q40" s="16"/>
    </row>
    <row r="41" spans="1:17" x14ac:dyDescent="0.3">
      <c r="Q41" s="16"/>
    </row>
    <row r="42" spans="1:17" x14ac:dyDescent="0.3">
      <c r="Q42" s="16"/>
    </row>
    <row r="43" spans="1:17" x14ac:dyDescent="0.3">
      <c r="Q43" s="16"/>
    </row>
    <row r="44" spans="1:17" x14ac:dyDescent="0.3">
      <c r="Q44" s="16"/>
    </row>
    <row r="45" spans="1:17" x14ac:dyDescent="0.3">
      <c r="Q45" s="16"/>
    </row>
    <row r="46" spans="1:17" x14ac:dyDescent="0.3">
      <c r="Q46" s="16"/>
    </row>
    <row r="47" spans="1:17" x14ac:dyDescent="0.3">
      <c r="Q47" s="16"/>
    </row>
    <row r="48" spans="1:17" x14ac:dyDescent="0.3">
      <c r="Q48" s="16"/>
    </row>
    <row r="49" spans="17:17" x14ac:dyDescent="0.3">
      <c r="Q49" s="16"/>
    </row>
    <row r="50" spans="17:17" x14ac:dyDescent="0.3">
      <c r="Q50" s="16"/>
    </row>
    <row r="51" spans="17:17" x14ac:dyDescent="0.3">
      <c r="Q51" s="16"/>
    </row>
    <row r="52" spans="17:17" x14ac:dyDescent="0.3">
      <c r="Q52" s="16"/>
    </row>
    <row r="53" spans="17:17" x14ac:dyDescent="0.3">
      <c r="Q53" s="16"/>
    </row>
    <row r="54" spans="17:17" x14ac:dyDescent="0.3">
      <c r="Q54" s="16"/>
    </row>
    <row r="55" spans="17:17" x14ac:dyDescent="0.3">
      <c r="Q55" s="16"/>
    </row>
    <row r="56" spans="17:17" x14ac:dyDescent="0.3">
      <c r="Q56" s="16"/>
    </row>
    <row r="57" spans="17:17" x14ac:dyDescent="0.3">
      <c r="Q57" s="16"/>
    </row>
    <row r="58" spans="17:17" x14ac:dyDescent="0.3">
      <c r="Q58" s="16"/>
    </row>
    <row r="59" spans="17:17" x14ac:dyDescent="0.3">
      <c r="Q59" s="16"/>
    </row>
    <row r="60" spans="17:17" x14ac:dyDescent="0.3">
      <c r="Q60" s="16"/>
    </row>
    <row r="61" spans="17:17" x14ac:dyDescent="0.3">
      <c r="Q61" s="16"/>
    </row>
    <row r="62" spans="17:17" x14ac:dyDescent="0.3">
      <c r="Q62" s="16"/>
    </row>
    <row r="63" spans="17:17" x14ac:dyDescent="0.3">
      <c r="Q63" s="16"/>
    </row>
    <row r="64" spans="17:17" x14ac:dyDescent="0.3">
      <c r="Q64" s="16"/>
    </row>
    <row r="65" spans="17:17" x14ac:dyDescent="0.3">
      <c r="Q65" s="16"/>
    </row>
    <row r="66" spans="17:17" x14ac:dyDescent="0.3">
      <c r="Q66" s="16"/>
    </row>
    <row r="67" spans="17:17" x14ac:dyDescent="0.3">
      <c r="Q67" s="16"/>
    </row>
    <row r="68" spans="17:17" x14ac:dyDescent="0.3">
      <c r="Q68" s="16"/>
    </row>
    <row r="69" spans="17:17" x14ac:dyDescent="0.3">
      <c r="Q69" s="16"/>
    </row>
    <row r="70" spans="17:17" x14ac:dyDescent="0.3">
      <c r="Q70" s="16"/>
    </row>
    <row r="71" spans="17:17" x14ac:dyDescent="0.3">
      <c r="Q71" s="16"/>
    </row>
    <row r="72" spans="17:17" x14ac:dyDescent="0.3">
      <c r="Q72" s="16"/>
    </row>
    <row r="73" spans="17:17" x14ac:dyDescent="0.3">
      <c r="Q73" s="16"/>
    </row>
    <row r="74" spans="17:17" x14ac:dyDescent="0.3">
      <c r="Q74" s="16"/>
    </row>
    <row r="75" spans="17:17" x14ac:dyDescent="0.3">
      <c r="Q75" s="16"/>
    </row>
    <row r="76" spans="17:17" x14ac:dyDescent="0.3">
      <c r="Q76" s="16"/>
    </row>
    <row r="77" spans="17:17" x14ac:dyDescent="0.3">
      <c r="Q77" s="16"/>
    </row>
    <row r="78" spans="17:17" x14ac:dyDescent="0.3">
      <c r="Q78" s="16"/>
    </row>
    <row r="79" spans="17:17" x14ac:dyDescent="0.3">
      <c r="Q79" s="16"/>
    </row>
  </sheetData>
  <mergeCells count="1">
    <mergeCell ref="I34:M38"/>
  </mergeCells>
  <phoneticPr fontId="18" type="noConversion"/>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8FDB8-3AFD-4A20-B6ED-C1C32B95B0A9}">
  <dimension ref="A1:AG374"/>
  <sheetViews>
    <sheetView workbookViewId="0">
      <pane xSplit="1" ySplit="1" topLeftCell="B2" activePane="bottomRight" state="frozen"/>
      <selection pane="topRight" activeCell="B1" sqref="B1"/>
      <selection pane="bottomLeft" activeCell="A2" sqref="A2"/>
      <selection pane="bottomRight" activeCell="D229" sqref="D229:D233"/>
    </sheetView>
  </sheetViews>
  <sheetFormatPr defaultRowHeight="14.4" x14ac:dyDescent="0.3"/>
  <cols>
    <col min="1" max="1" width="11.21875" bestFit="1" customWidth="1"/>
    <col min="4" max="4" width="19.21875" customWidth="1"/>
    <col min="5" max="5" width="18" customWidth="1"/>
    <col min="6" max="6" width="20.44140625" bestFit="1" customWidth="1"/>
    <col min="7" max="7" width="14.44140625" customWidth="1"/>
    <col min="8" max="8" width="7.6640625" customWidth="1"/>
    <col min="9" max="9" width="18.109375" customWidth="1"/>
    <col min="10" max="10" width="13.21875" bestFit="1" customWidth="1"/>
    <col min="11" max="11" width="9.21875" customWidth="1"/>
    <col min="12" max="12" width="12.109375" customWidth="1"/>
    <col min="13" max="13" width="19.6640625" customWidth="1"/>
    <col min="14" max="14" width="23.6640625" customWidth="1"/>
    <col min="15" max="15" width="21.44140625" bestFit="1" customWidth="1"/>
    <col min="16" max="16" width="23.6640625" bestFit="1" customWidth="1"/>
    <col min="17" max="17" width="32.6640625" bestFit="1" customWidth="1"/>
    <col min="18" max="18" width="19.77734375" style="3" customWidth="1"/>
    <col min="19" max="19" width="24.6640625" style="7" bestFit="1" customWidth="1"/>
    <col min="20" max="20" width="11.109375" bestFit="1" customWidth="1"/>
    <col min="21" max="21" width="8.88671875" bestFit="1" customWidth="1"/>
    <col min="22" max="22" width="19.44140625" style="5" bestFit="1" customWidth="1"/>
    <col min="23" max="23" width="14.109375" style="6" customWidth="1"/>
    <col min="24" max="24" width="17.109375" style="4" customWidth="1"/>
    <col min="25" max="25" width="25.77734375" bestFit="1" customWidth="1"/>
    <col min="26" max="26" width="12.33203125" customWidth="1"/>
    <col min="27" max="27" width="26" customWidth="1"/>
    <col min="28" max="28" width="11.33203125" bestFit="1" customWidth="1"/>
    <col min="29" max="29" width="24.109375" bestFit="1" customWidth="1"/>
    <col min="30" max="30" width="14.77734375" bestFit="1" customWidth="1"/>
    <col min="31" max="31" width="14.33203125" style="7" bestFit="1" customWidth="1"/>
    <col min="32" max="32" width="22" customWidth="1"/>
    <col min="33" max="33" width="19.77734375" bestFit="1" customWidth="1"/>
    <col min="34" max="34" width="17" customWidth="1"/>
  </cols>
  <sheetData>
    <row r="1" spans="1:33" x14ac:dyDescent="0.3">
      <c r="A1" t="s">
        <v>0</v>
      </c>
      <c r="B1" t="s">
        <v>1</v>
      </c>
      <c r="C1" t="s">
        <v>2</v>
      </c>
      <c r="D1" t="s">
        <v>107</v>
      </c>
      <c r="E1" t="s">
        <v>3</v>
      </c>
      <c r="F1" t="s">
        <v>4</v>
      </c>
      <c r="G1" t="s">
        <v>5</v>
      </c>
      <c r="H1" t="s">
        <v>6</v>
      </c>
      <c r="I1" t="s">
        <v>7</v>
      </c>
      <c r="J1" t="s">
        <v>8</v>
      </c>
      <c r="K1" t="s">
        <v>9</v>
      </c>
      <c r="L1" t="s">
        <v>10</v>
      </c>
      <c r="M1" t="s">
        <v>11</v>
      </c>
      <c r="N1" t="s">
        <v>12</v>
      </c>
      <c r="O1" t="s">
        <v>13</v>
      </c>
      <c r="P1" t="s">
        <v>14</v>
      </c>
      <c r="Q1" s="3" t="s">
        <v>15</v>
      </c>
      <c r="R1" s="7" t="s">
        <v>16</v>
      </c>
      <c r="S1" t="s">
        <v>17</v>
      </c>
      <c r="T1" t="s">
        <v>18</v>
      </c>
      <c r="U1" s="5" t="s">
        <v>19</v>
      </c>
      <c r="V1" s="6" t="s">
        <v>20</v>
      </c>
      <c r="W1" s="4" t="s">
        <v>21</v>
      </c>
      <c r="X1" t="s">
        <v>22</v>
      </c>
      <c r="Y1" t="s">
        <v>23</v>
      </c>
      <c r="Z1" t="s">
        <v>24</v>
      </c>
      <c r="AA1" t="s">
        <v>25</v>
      </c>
      <c r="AB1" t="s">
        <v>26</v>
      </c>
      <c r="AC1" t="s">
        <v>83</v>
      </c>
      <c r="AD1" s="7" t="s">
        <v>28</v>
      </c>
      <c r="AE1" t="s">
        <v>29</v>
      </c>
      <c r="AF1" t="s">
        <v>100</v>
      </c>
      <c r="AG1" t="s">
        <v>101</v>
      </c>
    </row>
    <row r="2" spans="1:33" x14ac:dyDescent="0.3">
      <c r="A2" t="s">
        <v>30</v>
      </c>
      <c r="B2">
        <v>2013</v>
      </c>
      <c r="C2" t="s">
        <v>31</v>
      </c>
      <c r="D2" s="10" t="str">
        <f xml:space="preserve"> _xlfn.CONCAT(Table1[[#This Row],[Month]],",",Table1[[#This Row],[Year]])</f>
        <v>January,2013</v>
      </c>
      <c r="E2">
        <v>107.5</v>
      </c>
      <c r="F2">
        <v>106.3</v>
      </c>
      <c r="G2">
        <v>108.1</v>
      </c>
      <c r="H2">
        <v>104.9</v>
      </c>
      <c r="I2">
        <v>106.1</v>
      </c>
      <c r="J2">
        <v>103.9</v>
      </c>
      <c r="K2">
        <v>101.9</v>
      </c>
      <c r="L2">
        <v>106.1</v>
      </c>
      <c r="M2">
        <v>106.8</v>
      </c>
      <c r="N2">
        <v>103.1</v>
      </c>
      <c r="O2">
        <v>104.8</v>
      </c>
      <c r="P2">
        <v>106.7</v>
      </c>
      <c r="Q2" s="3">
        <v>105.5</v>
      </c>
      <c r="R2" s="7">
        <v>105.1</v>
      </c>
      <c r="S2">
        <v>106.5</v>
      </c>
      <c r="T2">
        <v>105.8</v>
      </c>
      <c r="U2" s="5">
        <v>106.4</v>
      </c>
      <c r="V2" s="6" t="s">
        <v>32</v>
      </c>
      <c r="W2" s="4">
        <v>105.5</v>
      </c>
      <c r="X2">
        <v>104.8</v>
      </c>
      <c r="Y2">
        <v>104</v>
      </c>
      <c r="Z2">
        <v>103.3</v>
      </c>
      <c r="AA2">
        <v>103.4</v>
      </c>
      <c r="AB2">
        <v>103.8</v>
      </c>
      <c r="AC2">
        <v>104.7</v>
      </c>
      <c r="AD2" s="7">
        <v>104</v>
      </c>
      <c r="AE2">
        <v>105.1</v>
      </c>
    </row>
    <row r="3" spans="1:33" x14ac:dyDescent="0.3">
      <c r="A3" t="s">
        <v>33</v>
      </c>
      <c r="B3">
        <v>2013</v>
      </c>
      <c r="C3" t="s">
        <v>31</v>
      </c>
      <c r="D3" s="10" t="str">
        <f xml:space="preserve"> _xlfn.CONCAT(Table1[[#This Row],[Month]],",",Table1[[#This Row],[Year]])</f>
        <v>January,2013</v>
      </c>
      <c r="E3">
        <v>110.5</v>
      </c>
      <c r="F3">
        <v>109.1</v>
      </c>
      <c r="G3">
        <v>113</v>
      </c>
      <c r="H3">
        <v>103.6</v>
      </c>
      <c r="I3">
        <v>103.4</v>
      </c>
      <c r="J3">
        <v>102.3</v>
      </c>
      <c r="K3">
        <v>102.9</v>
      </c>
      <c r="L3">
        <v>105.8</v>
      </c>
      <c r="M3">
        <v>105.1</v>
      </c>
      <c r="N3">
        <v>101.8</v>
      </c>
      <c r="O3">
        <v>105.1</v>
      </c>
      <c r="P3">
        <v>107.9</v>
      </c>
      <c r="Q3" s="3">
        <v>105.9</v>
      </c>
      <c r="R3" s="7">
        <v>105.2</v>
      </c>
      <c r="S3">
        <v>105.9</v>
      </c>
      <c r="T3">
        <v>105</v>
      </c>
      <c r="U3" s="5">
        <v>105.8</v>
      </c>
      <c r="V3" s="6">
        <v>100.3</v>
      </c>
      <c r="W3" s="4">
        <v>105.4</v>
      </c>
      <c r="X3">
        <v>104.8</v>
      </c>
      <c r="Y3">
        <v>104.1</v>
      </c>
      <c r="Z3">
        <v>103.2</v>
      </c>
      <c r="AA3">
        <v>102.9</v>
      </c>
      <c r="AB3">
        <v>103.5</v>
      </c>
      <c r="AC3">
        <v>104.3</v>
      </c>
      <c r="AD3" s="7">
        <v>103.7</v>
      </c>
      <c r="AE3">
        <v>104</v>
      </c>
    </row>
    <row r="4" spans="1:33" x14ac:dyDescent="0.3">
      <c r="A4" t="s">
        <v>34</v>
      </c>
      <c r="B4">
        <v>2013</v>
      </c>
      <c r="C4" t="s">
        <v>31</v>
      </c>
      <c r="D4" s="10" t="str">
        <f xml:space="preserve"> _xlfn.CONCAT(Table1[[#This Row],[Month]],",",Table1[[#This Row],[Year]])</f>
        <v>January,2013</v>
      </c>
      <c r="E4">
        <v>108.4</v>
      </c>
      <c r="F4">
        <v>107.3</v>
      </c>
      <c r="G4">
        <v>110</v>
      </c>
      <c r="H4">
        <v>104.4</v>
      </c>
      <c r="I4">
        <v>105.1</v>
      </c>
      <c r="J4">
        <v>103.2</v>
      </c>
      <c r="K4">
        <v>102.2</v>
      </c>
      <c r="L4">
        <v>106</v>
      </c>
      <c r="M4">
        <v>106.2</v>
      </c>
      <c r="N4">
        <v>102.7</v>
      </c>
      <c r="O4">
        <v>104.9</v>
      </c>
      <c r="P4">
        <v>107.3</v>
      </c>
      <c r="Q4" s="3">
        <v>105.6</v>
      </c>
      <c r="R4" s="7">
        <v>105.1</v>
      </c>
      <c r="S4">
        <v>106.3</v>
      </c>
      <c r="T4">
        <v>105.5</v>
      </c>
      <c r="U4" s="5">
        <v>106.2</v>
      </c>
      <c r="V4" s="6">
        <v>100.3</v>
      </c>
      <c r="W4" s="4">
        <v>105.5</v>
      </c>
      <c r="X4">
        <v>104.8</v>
      </c>
      <c r="Y4">
        <v>104</v>
      </c>
      <c r="Z4">
        <v>103.2</v>
      </c>
      <c r="AA4">
        <v>103.1</v>
      </c>
      <c r="AB4">
        <v>103.6</v>
      </c>
      <c r="AC4">
        <v>104.5</v>
      </c>
      <c r="AD4" s="7">
        <v>103.9</v>
      </c>
      <c r="AE4">
        <v>104.6</v>
      </c>
    </row>
    <row r="5" spans="1:33" x14ac:dyDescent="0.3">
      <c r="A5" t="s">
        <v>30</v>
      </c>
      <c r="B5">
        <v>2013</v>
      </c>
      <c r="C5" t="s">
        <v>35</v>
      </c>
      <c r="D5" s="10" t="str">
        <f xml:space="preserve"> _xlfn.CONCAT(Table1[[#This Row],[Month]],",",Table1[[#This Row],[Year]])</f>
        <v>February,2013</v>
      </c>
      <c r="E5">
        <v>109.2</v>
      </c>
      <c r="F5">
        <v>108.7</v>
      </c>
      <c r="G5">
        <v>110.2</v>
      </c>
      <c r="H5">
        <v>105.4</v>
      </c>
      <c r="I5">
        <v>106.7</v>
      </c>
      <c r="J5">
        <v>104</v>
      </c>
      <c r="K5">
        <v>102.4</v>
      </c>
      <c r="L5">
        <v>105.9</v>
      </c>
      <c r="M5">
        <v>105.7</v>
      </c>
      <c r="N5">
        <v>103.1</v>
      </c>
      <c r="O5">
        <v>105.1</v>
      </c>
      <c r="P5">
        <v>107.7</v>
      </c>
      <c r="Q5" s="3">
        <v>106.3</v>
      </c>
      <c r="R5" s="7">
        <v>105.6</v>
      </c>
      <c r="S5">
        <v>107.1</v>
      </c>
      <c r="T5">
        <v>106.3</v>
      </c>
      <c r="U5" s="5">
        <v>107</v>
      </c>
      <c r="V5" s="6" t="s">
        <v>32</v>
      </c>
      <c r="W5" s="4">
        <v>106.2</v>
      </c>
      <c r="X5">
        <v>105.2</v>
      </c>
      <c r="Y5">
        <v>104.4</v>
      </c>
      <c r="Z5">
        <v>103.9</v>
      </c>
      <c r="AA5">
        <v>104</v>
      </c>
      <c r="AB5">
        <v>104.1</v>
      </c>
      <c r="AC5">
        <v>104.6</v>
      </c>
      <c r="AD5" s="7">
        <v>104.4</v>
      </c>
      <c r="AE5">
        <v>105.8</v>
      </c>
    </row>
    <row r="6" spans="1:33" x14ac:dyDescent="0.3">
      <c r="A6" t="s">
        <v>33</v>
      </c>
      <c r="B6">
        <v>2013</v>
      </c>
      <c r="C6" t="s">
        <v>35</v>
      </c>
      <c r="D6" s="10" t="str">
        <f xml:space="preserve"> _xlfn.CONCAT(Table1[[#This Row],[Month]],",",Table1[[#This Row],[Year]])</f>
        <v>February,2013</v>
      </c>
      <c r="E6">
        <v>112.9</v>
      </c>
      <c r="F6">
        <v>112.9</v>
      </c>
      <c r="G6">
        <v>116.9</v>
      </c>
      <c r="H6">
        <v>104</v>
      </c>
      <c r="I6">
        <v>103.5</v>
      </c>
      <c r="J6">
        <v>103.1</v>
      </c>
      <c r="K6">
        <v>104.9</v>
      </c>
      <c r="L6">
        <v>104.1</v>
      </c>
      <c r="M6">
        <v>103.8</v>
      </c>
      <c r="N6">
        <v>102.3</v>
      </c>
      <c r="O6">
        <v>106</v>
      </c>
      <c r="P6">
        <v>109</v>
      </c>
      <c r="Q6" s="3">
        <v>107.2</v>
      </c>
      <c r="R6" s="7">
        <v>106</v>
      </c>
      <c r="S6">
        <v>106.6</v>
      </c>
      <c r="T6">
        <v>105.5</v>
      </c>
      <c r="U6" s="5">
        <v>106.4</v>
      </c>
      <c r="V6" s="6">
        <v>100.4</v>
      </c>
      <c r="W6" s="4">
        <v>105.7</v>
      </c>
      <c r="X6">
        <v>105.2</v>
      </c>
      <c r="Y6">
        <v>104.7</v>
      </c>
      <c r="Z6">
        <v>104.4</v>
      </c>
      <c r="AA6">
        <v>103.3</v>
      </c>
      <c r="AB6">
        <v>103.7</v>
      </c>
      <c r="AC6">
        <v>104.3</v>
      </c>
      <c r="AD6" s="7">
        <v>104.3</v>
      </c>
      <c r="AE6">
        <v>104.7</v>
      </c>
    </row>
    <row r="7" spans="1:33" x14ac:dyDescent="0.3">
      <c r="A7" t="s">
        <v>34</v>
      </c>
      <c r="B7">
        <v>2013</v>
      </c>
      <c r="C7" t="s">
        <v>35</v>
      </c>
      <c r="D7" s="10" t="str">
        <f xml:space="preserve"> _xlfn.CONCAT(Table1[[#This Row],[Month]],",",Table1[[#This Row],[Year]])</f>
        <v>February,2013</v>
      </c>
      <c r="E7">
        <v>110.4</v>
      </c>
      <c r="F7">
        <v>110.2</v>
      </c>
      <c r="G7">
        <v>112.8</v>
      </c>
      <c r="H7">
        <v>104.9</v>
      </c>
      <c r="I7">
        <v>105.5</v>
      </c>
      <c r="J7">
        <v>103.6</v>
      </c>
      <c r="K7">
        <v>103.2</v>
      </c>
      <c r="L7">
        <v>105.3</v>
      </c>
      <c r="M7">
        <v>105.1</v>
      </c>
      <c r="N7">
        <v>102.8</v>
      </c>
      <c r="O7">
        <v>105.5</v>
      </c>
      <c r="P7">
        <v>108.3</v>
      </c>
      <c r="Q7" s="3">
        <v>106.6</v>
      </c>
      <c r="R7" s="7">
        <v>105.7</v>
      </c>
      <c r="S7">
        <v>106.9</v>
      </c>
      <c r="T7">
        <v>106</v>
      </c>
      <c r="U7" s="5">
        <v>106.8</v>
      </c>
      <c r="V7" s="6">
        <v>100.4</v>
      </c>
      <c r="W7" s="4">
        <v>106</v>
      </c>
      <c r="X7">
        <v>105.2</v>
      </c>
      <c r="Y7">
        <v>104.5</v>
      </c>
      <c r="Z7">
        <v>104.2</v>
      </c>
      <c r="AA7">
        <v>103.6</v>
      </c>
      <c r="AB7">
        <v>103.9</v>
      </c>
      <c r="AC7">
        <v>104.5</v>
      </c>
      <c r="AD7" s="7">
        <v>104.4</v>
      </c>
      <c r="AE7">
        <v>105.3</v>
      </c>
    </row>
    <row r="8" spans="1:33" x14ac:dyDescent="0.3">
      <c r="A8" t="s">
        <v>30</v>
      </c>
      <c r="B8">
        <v>2013</v>
      </c>
      <c r="C8" t="s">
        <v>36</v>
      </c>
      <c r="D8" s="10" t="str">
        <f xml:space="preserve"> _xlfn.CONCAT(Table1[[#This Row],[Month]],",",Table1[[#This Row],[Year]])</f>
        <v>March,2013</v>
      </c>
      <c r="E8">
        <v>110.2</v>
      </c>
      <c r="F8">
        <v>108.8</v>
      </c>
      <c r="G8">
        <v>109.9</v>
      </c>
      <c r="H8">
        <v>105.6</v>
      </c>
      <c r="I8">
        <v>106.2</v>
      </c>
      <c r="J8">
        <v>105.7</v>
      </c>
      <c r="K8">
        <v>101.4</v>
      </c>
      <c r="L8">
        <v>105.7</v>
      </c>
      <c r="M8">
        <v>105</v>
      </c>
      <c r="N8">
        <v>103.3</v>
      </c>
      <c r="O8">
        <v>105.6</v>
      </c>
      <c r="P8">
        <v>108.2</v>
      </c>
      <c r="Q8" s="3">
        <v>106.6</v>
      </c>
      <c r="R8" s="7">
        <v>106.5</v>
      </c>
      <c r="S8">
        <v>107.6</v>
      </c>
      <c r="T8">
        <v>106.8</v>
      </c>
      <c r="U8" s="5">
        <v>107.5</v>
      </c>
      <c r="V8" s="6" t="s">
        <v>32</v>
      </c>
      <c r="W8" s="4">
        <v>106.1</v>
      </c>
      <c r="X8">
        <v>105.6</v>
      </c>
      <c r="Y8">
        <v>104.7</v>
      </c>
      <c r="Z8">
        <v>104.6</v>
      </c>
      <c r="AA8">
        <v>104</v>
      </c>
      <c r="AB8">
        <v>104.3</v>
      </c>
      <c r="AC8">
        <v>104.3</v>
      </c>
      <c r="AD8" s="7">
        <v>104.6</v>
      </c>
      <c r="AE8">
        <v>106</v>
      </c>
    </row>
    <row r="9" spans="1:33" x14ac:dyDescent="0.3">
      <c r="A9" t="s">
        <v>33</v>
      </c>
      <c r="B9">
        <v>2013</v>
      </c>
      <c r="C9" t="s">
        <v>36</v>
      </c>
      <c r="D9" s="10" t="str">
        <f xml:space="preserve"> _xlfn.CONCAT(Table1[[#This Row],[Month]],",",Table1[[#This Row],[Year]])</f>
        <v>March,2013</v>
      </c>
      <c r="E9">
        <v>113.9</v>
      </c>
      <c r="F9">
        <v>111.4</v>
      </c>
      <c r="G9">
        <v>113.2</v>
      </c>
      <c r="H9">
        <v>104.3</v>
      </c>
      <c r="I9">
        <v>102.7</v>
      </c>
      <c r="J9">
        <v>104.9</v>
      </c>
      <c r="K9">
        <v>103.8</v>
      </c>
      <c r="L9">
        <v>103.5</v>
      </c>
      <c r="M9">
        <v>102.6</v>
      </c>
      <c r="N9">
        <v>102.4</v>
      </c>
      <c r="O9">
        <v>107</v>
      </c>
      <c r="P9">
        <v>109.8</v>
      </c>
      <c r="Q9" s="3">
        <v>107.3</v>
      </c>
      <c r="R9" s="7">
        <v>106.8</v>
      </c>
      <c r="S9">
        <v>107.2</v>
      </c>
      <c r="T9">
        <v>106</v>
      </c>
      <c r="U9" s="5">
        <v>107</v>
      </c>
      <c r="V9" s="6">
        <v>100.4</v>
      </c>
      <c r="W9" s="4">
        <v>106</v>
      </c>
      <c r="X9">
        <v>105.7</v>
      </c>
      <c r="Y9">
        <v>105.2</v>
      </c>
      <c r="Z9">
        <v>105.5</v>
      </c>
      <c r="AA9">
        <v>103.5</v>
      </c>
      <c r="AB9">
        <v>103.8</v>
      </c>
      <c r="AC9">
        <v>104.2</v>
      </c>
      <c r="AD9" s="7">
        <v>104.9</v>
      </c>
      <c r="AE9">
        <v>105</v>
      </c>
    </row>
    <row r="10" spans="1:33" x14ac:dyDescent="0.3">
      <c r="A10" t="s">
        <v>34</v>
      </c>
      <c r="B10">
        <v>2013</v>
      </c>
      <c r="C10" t="s">
        <v>36</v>
      </c>
      <c r="D10" s="10" t="str">
        <f xml:space="preserve"> _xlfn.CONCAT(Table1[[#This Row],[Month]],",",Table1[[#This Row],[Year]])</f>
        <v>March,2013</v>
      </c>
      <c r="E10">
        <v>111.4</v>
      </c>
      <c r="F10">
        <v>109.7</v>
      </c>
      <c r="G10">
        <v>111.2</v>
      </c>
      <c r="H10">
        <v>105.1</v>
      </c>
      <c r="I10">
        <v>104.9</v>
      </c>
      <c r="J10">
        <v>105.3</v>
      </c>
      <c r="K10">
        <v>102.2</v>
      </c>
      <c r="L10">
        <v>105</v>
      </c>
      <c r="M10">
        <v>104.2</v>
      </c>
      <c r="N10">
        <v>103</v>
      </c>
      <c r="O10">
        <v>106.2</v>
      </c>
      <c r="P10">
        <v>108.9</v>
      </c>
      <c r="Q10" s="3">
        <v>106.9</v>
      </c>
      <c r="R10" s="7">
        <v>106.6</v>
      </c>
      <c r="S10">
        <v>107.4</v>
      </c>
      <c r="T10">
        <v>106.5</v>
      </c>
      <c r="U10" s="5">
        <v>107.3</v>
      </c>
      <c r="V10" s="6">
        <v>100.4</v>
      </c>
      <c r="W10" s="4">
        <v>106.1</v>
      </c>
      <c r="X10">
        <v>105.6</v>
      </c>
      <c r="Y10">
        <v>104.9</v>
      </c>
      <c r="Z10">
        <v>105.1</v>
      </c>
      <c r="AA10">
        <v>103.7</v>
      </c>
      <c r="AB10">
        <v>104</v>
      </c>
      <c r="AC10">
        <v>104.3</v>
      </c>
      <c r="AD10" s="7">
        <v>104.7</v>
      </c>
      <c r="AE10">
        <v>105.5</v>
      </c>
    </row>
    <row r="11" spans="1:33" x14ac:dyDescent="0.3">
      <c r="A11" t="s">
        <v>30</v>
      </c>
      <c r="B11">
        <v>2013</v>
      </c>
      <c r="C11" t="s">
        <v>37</v>
      </c>
      <c r="D11" s="10" t="str">
        <f xml:space="preserve"> _xlfn.CONCAT(Table1[[#This Row],[Month]],",",Table1[[#This Row],[Year]])</f>
        <v>April,2013</v>
      </c>
      <c r="E11">
        <v>110.2</v>
      </c>
      <c r="F11">
        <v>109.5</v>
      </c>
      <c r="G11">
        <v>106.9</v>
      </c>
      <c r="H11">
        <v>106.3</v>
      </c>
      <c r="I11">
        <v>105.7</v>
      </c>
      <c r="J11">
        <v>108.3</v>
      </c>
      <c r="K11">
        <v>103.4</v>
      </c>
      <c r="L11">
        <v>105.7</v>
      </c>
      <c r="M11">
        <v>104.2</v>
      </c>
      <c r="N11">
        <v>103.2</v>
      </c>
      <c r="O11">
        <v>106.5</v>
      </c>
      <c r="P11">
        <v>108.8</v>
      </c>
      <c r="Q11" s="3">
        <v>107.1</v>
      </c>
      <c r="R11" s="7">
        <v>107.1</v>
      </c>
      <c r="S11">
        <v>108.1</v>
      </c>
      <c r="T11">
        <v>107.4</v>
      </c>
      <c r="U11" s="5">
        <v>108</v>
      </c>
      <c r="V11" s="6" t="s">
        <v>32</v>
      </c>
      <c r="W11" s="4">
        <v>106.5</v>
      </c>
      <c r="X11">
        <v>106.1</v>
      </c>
      <c r="Y11">
        <v>105.1</v>
      </c>
      <c r="Z11">
        <v>104.4</v>
      </c>
      <c r="AA11">
        <v>104.5</v>
      </c>
      <c r="AB11">
        <v>104.8</v>
      </c>
      <c r="AC11">
        <v>102.7</v>
      </c>
      <c r="AD11" s="7">
        <v>104.6</v>
      </c>
      <c r="AE11">
        <v>106.4</v>
      </c>
    </row>
    <row r="12" spans="1:33" x14ac:dyDescent="0.3">
      <c r="A12" t="s">
        <v>33</v>
      </c>
      <c r="B12">
        <v>2013</v>
      </c>
      <c r="C12" t="s">
        <v>37</v>
      </c>
      <c r="D12" s="10" t="str">
        <f xml:space="preserve"> _xlfn.CONCAT(Table1[[#This Row],[Month]],",",Table1[[#This Row],[Year]])</f>
        <v>April,2013</v>
      </c>
      <c r="E12">
        <v>114.6</v>
      </c>
      <c r="F12">
        <v>113.4</v>
      </c>
      <c r="G12">
        <v>106</v>
      </c>
      <c r="H12">
        <v>104.7</v>
      </c>
      <c r="I12">
        <v>102.1</v>
      </c>
      <c r="J12">
        <v>109.5</v>
      </c>
      <c r="K12">
        <v>109.7</v>
      </c>
      <c r="L12">
        <v>104.6</v>
      </c>
      <c r="M12">
        <v>102</v>
      </c>
      <c r="N12">
        <v>103.5</v>
      </c>
      <c r="O12">
        <v>108.2</v>
      </c>
      <c r="P12">
        <v>110.6</v>
      </c>
      <c r="Q12" s="3">
        <v>108.8</v>
      </c>
      <c r="R12" s="7">
        <v>108.5</v>
      </c>
      <c r="S12">
        <v>107.9</v>
      </c>
      <c r="T12">
        <v>106.4</v>
      </c>
      <c r="U12" s="5">
        <v>107.7</v>
      </c>
      <c r="V12" s="6">
        <v>100.5</v>
      </c>
      <c r="W12" s="4">
        <v>106.4</v>
      </c>
      <c r="X12">
        <v>106.5</v>
      </c>
      <c r="Y12">
        <v>105.7</v>
      </c>
      <c r="Z12">
        <v>105</v>
      </c>
      <c r="AA12">
        <v>104</v>
      </c>
      <c r="AB12">
        <v>105.2</v>
      </c>
      <c r="AC12">
        <v>103.2</v>
      </c>
      <c r="AD12" s="7">
        <v>105.1</v>
      </c>
      <c r="AE12">
        <v>105.7</v>
      </c>
    </row>
    <row r="13" spans="1:33" x14ac:dyDescent="0.3">
      <c r="A13" t="s">
        <v>34</v>
      </c>
      <c r="B13">
        <v>2013</v>
      </c>
      <c r="C13" t="s">
        <v>37</v>
      </c>
      <c r="D13" s="10" t="str">
        <f xml:space="preserve"> _xlfn.CONCAT(Table1[[#This Row],[Month]],",",Table1[[#This Row],[Year]])</f>
        <v>April,2013</v>
      </c>
      <c r="E13">
        <v>111.6</v>
      </c>
      <c r="F13">
        <v>110.9</v>
      </c>
      <c r="G13">
        <v>106.6</v>
      </c>
      <c r="H13">
        <v>105.7</v>
      </c>
      <c r="I13">
        <v>104.4</v>
      </c>
      <c r="J13">
        <v>108.9</v>
      </c>
      <c r="K13">
        <v>105.5</v>
      </c>
      <c r="L13">
        <v>105.3</v>
      </c>
      <c r="M13">
        <v>103.5</v>
      </c>
      <c r="N13">
        <v>103.3</v>
      </c>
      <c r="O13">
        <v>107.2</v>
      </c>
      <c r="P13">
        <v>109.6</v>
      </c>
      <c r="Q13" s="3">
        <v>107.7</v>
      </c>
      <c r="R13" s="7">
        <v>107.5</v>
      </c>
      <c r="S13">
        <v>108</v>
      </c>
      <c r="T13">
        <v>107</v>
      </c>
      <c r="U13" s="5">
        <v>107.9</v>
      </c>
      <c r="V13" s="6">
        <v>100.5</v>
      </c>
      <c r="W13" s="4">
        <v>106.5</v>
      </c>
      <c r="X13">
        <v>106.3</v>
      </c>
      <c r="Y13">
        <v>105.3</v>
      </c>
      <c r="Z13">
        <v>104.7</v>
      </c>
      <c r="AA13">
        <v>104.2</v>
      </c>
      <c r="AB13">
        <v>105</v>
      </c>
      <c r="AC13">
        <v>102.9</v>
      </c>
      <c r="AD13" s="7">
        <v>104.8</v>
      </c>
      <c r="AE13">
        <v>106.1</v>
      </c>
    </row>
    <row r="14" spans="1:33" x14ac:dyDescent="0.3">
      <c r="A14" t="s">
        <v>30</v>
      </c>
      <c r="B14">
        <v>2013</v>
      </c>
      <c r="C14" t="s">
        <v>38</v>
      </c>
      <c r="D14" s="10" t="str">
        <f xml:space="preserve"> _xlfn.CONCAT(Table1[[#This Row],[Month]],",",Table1[[#This Row],[Year]])</f>
        <v>May,2013</v>
      </c>
      <c r="E14">
        <v>110.9</v>
      </c>
      <c r="F14">
        <v>109.8</v>
      </c>
      <c r="G14">
        <v>105.9</v>
      </c>
      <c r="H14">
        <v>107.5</v>
      </c>
      <c r="I14">
        <v>105.3</v>
      </c>
      <c r="J14">
        <v>108.1</v>
      </c>
      <c r="K14">
        <v>107.3</v>
      </c>
      <c r="L14">
        <v>106.1</v>
      </c>
      <c r="M14">
        <v>103.7</v>
      </c>
      <c r="N14">
        <v>104</v>
      </c>
      <c r="O14">
        <v>107.4</v>
      </c>
      <c r="P14">
        <v>109.9</v>
      </c>
      <c r="Q14" s="3">
        <v>108.1</v>
      </c>
      <c r="R14" s="7">
        <v>108.1</v>
      </c>
      <c r="S14">
        <v>108.8</v>
      </c>
      <c r="T14">
        <v>107.9</v>
      </c>
      <c r="U14" s="5">
        <v>108.6</v>
      </c>
      <c r="V14" s="6" t="s">
        <v>32</v>
      </c>
      <c r="W14" s="4">
        <v>107.5</v>
      </c>
      <c r="X14">
        <v>106.8</v>
      </c>
      <c r="Y14">
        <v>105.7</v>
      </c>
      <c r="Z14">
        <v>104.1</v>
      </c>
      <c r="AA14">
        <v>105</v>
      </c>
      <c r="AB14">
        <v>105.5</v>
      </c>
      <c r="AC14">
        <v>102.1</v>
      </c>
      <c r="AD14" s="7">
        <v>104.8</v>
      </c>
      <c r="AE14">
        <v>107.2</v>
      </c>
    </row>
    <row r="15" spans="1:33" x14ac:dyDescent="0.3">
      <c r="A15" t="s">
        <v>33</v>
      </c>
      <c r="B15">
        <v>2013</v>
      </c>
      <c r="C15" t="s">
        <v>38</v>
      </c>
      <c r="D15" s="10" t="str">
        <f xml:space="preserve"> _xlfn.CONCAT(Table1[[#This Row],[Month]],",",Table1[[#This Row],[Year]])</f>
        <v>May,2013</v>
      </c>
      <c r="E15">
        <v>115.4</v>
      </c>
      <c r="F15">
        <v>114.2</v>
      </c>
      <c r="G15">
        <v>102.7</v>
      </c>
      <c r="H15">
        <v>105.5</v>
      </c>
      <c r="I15">
        <v>101.5</v>
      </c>
      <c r="J15">
        <v>110.6</v>
      </c>
      <c r="K15">
        <v>123.7</v>
      </c>
      <c r="L15">
        <v>105.2</v>
      </c>
      <c r="M15">
        <v>101.9</v>
      </c>
      <c r="N15">
        <v>105</v>
      </c>
      <c r="O15">
        <v>109.1</v>
      </c>
      <c r="P15">
        <v>111.3</v>
      </c>
      <c r="Q15" s="3">
        <v>111.1</v>
      </c>
      <c r="R15" s="7">
        <v>109.8</v>
      </c>
      <c r="S15">
        <v>108.5</v>
      </c>
      <c r="T15">
        <v>106.7</v>
      </c>
      <c r="U15" s="5">
        <v>108.3</v>
      </c>
      <c r="V15" s="6">
        <v>100.5</v>
      </c>
      <c r="W15" s="4">
        <v>107.2</v>
      </c>
      <c r="X15">
        <v>107.1</v>
      </c>
      <c r="Y15">
        <v>106.2</v>
      </c>
      <c r="Z15">
        <v>103.9</v>
      </c>
      <c r="AA15">
        <v>104.6</v>
      </c>
      <c r="AB15">
        <v>105.7</v>
      </c>
      <c r="AC15">
        <v>102.6</v>
      </c>
      <c r="AD15" s="7">
        <v>104.9</v>
      </c>
      <c r="AE15">
        <v>106.6</v>
      </c>
    </row>
    <row r="16" spans="1:33" x14ac:dyDescent="0.3">
      <c r="A16" t="s">
        <v>34</v>
      </c>
      <c r="B16">
        <v>2013</v>
      </c>
      <c r="C16" t="s">
        <v>38</v>
      </c>
      <c r="D16" s="10" t="str">
        <f xml:space="preserve"> _xlfn.CONCAT(Table1[[#This Row],[Month]],",",Table1[[#This Row],[Year]])</f>
        <v>May,2013</v>
      </c>
      <c r="E16">
        <v>112.3</v>
      </c>
      <c r="F16">
        <v>111.3</v>
      </c>
      <c r="G16">
        <v>104.7</v>
      </c>
      <c r="H16">
        <v>106.8</v>
      </c>
      <c r="I16">
        <v>103.9</v>
      </c>
      <c r="J16">
        <v>109.3</v>
      </c>
      <c r="K16">
        <v>112.9</v>
      </c>
      <c r="L16">
        <v>105.8</v>
      </c>
      <c r="M16">
        <v>103.1</v>
      </c>
      <c r="N16">
        <v>104.3</v>
      </c>
      <c r="O16">
        <v>108.1</v>
      </c>
      <c r="P16">
        <v>110.5</v>
      </c>
      <c r="Q16" s="3">
        <v>109.2</v>
      </c>
      <c r="R16" s="7">
        <v>108.6</v>
      </c>
      <c r="S16">
        <v>108.7</v>
      </c>
      <c r="T16">
        <v>107.4</v>
      </c>
      <c r="U16" s="5">
        <v>108.5</v>
      </c>
      <c r="V16" s="6">
        <v>100.5</v>
      </c>
      <c r="W16" s="4">
        <v>107.4</v>
      </c>
      <c r="X16">
        <v>106.9</v>
      </c>
      <c r="Y16">
        <v>105.9</v>
      </c>
      <c r="Z16">
        <v>104</v>
      </c>
      <c r="AA16">
        <v>104.8</v>
      </c>
      <c r="AB16">
        <v>105.6</v>
      </c>
      <c r="AC16">
        <v>102.3</v>
      </c>
      <c r="AD16" s="7">
        <v>104.8</v>
      </c>
      <c r="AE16">
        <v>106.9</v>
      </c>
    </row>
    <row r="17" spans="1:31" x14ac:dyDescent="0.3">
      <c r="A17" t="s">
        <v>30</v>
      </c>
      <c r="B17">
        <v>2013</v>
      </c>
      <c r="C17" t="s">
        <v>39</v>
      </c>
      <c r="D17" s="10" t="str">
        <f xml:space="preserve"> _xlfn.CONCAT(Table1[[#This Row],[Month]],",",Table1[[#This Row],[Year]])</f>
        <v>June,2013</v>
      </c>
      <c r="E17">
        <v>112.3</v>
      </c>
      <c r="F17">
        <v>112.1</v>
      </c>
      <c r="G17">
        <v>108.1</v>
      </c>
      <c r="H17">
        <v>108.3</v>
      </c>
      <c r="I17">
        <v>105.9</v>
      </c>
      <c r="J17">
        <v>109.2</v>
      </c>
      <c r="K17">
        <v>118</v>
      </c>
      <c r="L17">
        <v>106.8</v>
      </c>
      <c r="M17">
        <v>104.1</v>
      </c>
      <c r="N17">
        <v>105.4</v>
      </c>
      <c r="O17">
        <v>108.2</v>
      </c>
      <c r="P17">
        <v>111</v>
      </c>
      <c r="Q17" s="3">
        <v>110.6</v>
      </c>
      <c r="R17" s="7">
        <v>109</v>
      </c>
      <c r="S17">
        <v>109.7</v>
      </c>
      <c r="T17">
        <v>108.8</v>
      </c>
      <c r="U17" s="5">
        <v>109.5</v>
      </c>
      <c r="V17" s="6" t="s">
        <v>32</v>
      </c>
      <c r="W17" s="4">
        <v>108.5</v>
      </c>
      <c r="X17">
        <v>107.5</v>
      </c>
      <c r="Y17">
        <v>106.3</v>
      </c>
      <c r="Z17">
        <v>105</v>
      </c>
      <c r="AA17">
        <v>105.6</v>
      </c>
      <c r="AB17">
        <v>106.5</v>
      </c>
      <c r="AC17">
        <v>102.5</v>
      </c>
      <c r="AD17" s="7">
        <v>105.5</v>
      </c>
      <c r="AE17">
        <v>108.9</v>
      </c>
    </row>
    <row r="18" spans="1:31" x14ac:dyDescent="0.3">
      <c r="A18" t="s">
        <v>33</v>
      </c>
      <c r="B18">
        <v>2013</v>
      </c>
      <c r="C18" t="s">
        <v>39</v>
      </c>
      <c r="D18" s="10" t="str">
        <f xml:space="preserve"> _xlfn.CONCAT(Table1[[#This Row],[Month]],",",Table1[[#This Row],[Year]])</f>
        <v>June,2013</v>
      </c>
      <c r="E18">
        <v>117</v>
      </c>
      <c r="F18">
        <v>120.1</v>
      </c>
      <c r="G18">
        <v>112.5</v>
      </c>
      <c r="H18">
        <v>107.3</v>
      </c>
      <c r="I18">
        <v>101.3</v>
      </c>
      <c r="J18">
        <v>112.4</v>
      </c>
      <c r="K18">
        <v>143.6</v>
      </c>
      <c r="L18">
        <v>105.4</v>
      </c>
      <c r="M18">
        <v>101.4</v>
      </c>
      <c r="N18">
        <v>106.4</v>
      </c>
      <c r="O18">
        <v>110</v>
      </c>
      <c r="P18">
        <v>112.2</v>
      </c>
      <c r="Q18" s="3">
        <v>115</v>
      </c>
      <c r="R18" s="7">
        <v>110.9</v>
      </c>
      <c r="S18">
        <v>109.2</v>
      </c>
      <c r="T18">
        <v>107.2</v>
      </c>
      <c r="U18" s="5">
        <v>108.9</v>
      </c>
      <c r="V18" s="6">
        <v>106.6</v>
      </c>
      <c r="W18" s="4">
        <v>108</v>
      </c>
      <c r="X18">
        <v>107.7</v>
      </c>
      <c r="Y18">
        <v>106.5</v>
      </c>
      <c r="Z18">
        <v>105.2</v>
      </c>
      <c r="AA18">
        <v>105.2</v>
      </c>
      <c r="AB18">
        <v>108.1</v>
      </c>
      <c r="AC18">
        <v>103.3</v>
      </c>
      <c r="AD18" s="7">
        <v>106.1</v>
      </c>
      <c r="AE18">
        <v>109.7</v>
      </c>
    </row>
    <row r="19" spans="1:31" x14ac:dyDescent="0.3">
      <c r="A19" t="s">
        <v>34</v>
      </c>
      <c r="B19">
        <v>2013</v>
      </c>
      <c r="C19" t="s">
        <v>39</v>
      </c>
      <c r="D19" s="10" t="str">
        <f xml:space="preserve"> _xlfn.CONCAT(Table1[[#This Row],[Month]],",",Table1[[#This Row],[Year]])</f>
        <v>June,2013</v>
      </c>
      <c r="E19">
        <v>113.8</v>
      </c>
      <c r="F19">
        <v>114.9</v>
      </c>
      <c r="G19">
        <v>109.8</v>
      </c>
      <c r="H19">
        <v>107.9</v>
      </c>
      <c r="I19">
        <v>104.2</v>
      </c>
      <c r="J19">
        <v>110.7</v>
      </c>
      <c r="K19">
        <v>126.7</v>
      </c>
      <c r="L19">
        <v>106.3</v>
      </c>
      <c r="M19">
        <v>103.2</v>
      </c>
      <c r="N19">
        <v>105.7</v>
      </c>
      <c r="O19">
        <v>109</v>
      </c>
      <c r="P19">
        <v>111.6</v>
      </c>
      <c r="Q19" s="3">
        <v>112.2</v>
      </c>
      <c r="R19" s="7">
        <v>109.5</v>
      </c>
      <c r="S19">
        <v>109.5</v>
      </c>
      <c r="T19">
        <v>108.1</v>
      </c>
      <c r="U19" s="5">
        <v>109.3</v>
      </c>
      <c r="V19" s="6">
        <v>106.6</v>
      </c>
      <c r="W19" s="4">
        <v>108.3</v>
      </c>
      <c r="X19">
        <v>107.6</v>
      </c>
      <c r="Y19">
        <v>106.4</v>
      </c>
      <c r="Z19">
        <v>105.1</v>
      </c>
      <c r="AA19">
        <v>105.4</v>
      </c>
      <c r="AB19">
        <v>107.4</v>
      </c>
      <c r="AC19">
        <v>102.8</v>
      </c>
      <c r="AD19" s="7">
        <v>105.8</v>
      </c>
      <c r="AE19">
        <v>109.3</v>
      </c>
    </row>
    <row r="20" spans="1:31" x14ac:dyDescent="0.3">
      <c r="A20" t="s">
        <v>30</v>
      </c>
      <c r="B20">
        <v>2013</v>
      </c>
      <c r="C20" t="s">
        <v>40</v>
      </c>
      <c r="D20" s="10" t="str">
        <f xml:space="preserve"> _xlfn.CONCAT(Table1[[#This Row],[Month]],",",Table1[[#This Row],[Year]])</f>
        <v>July,2013</v>
      </c>
      <c r="E20">
        <v>113.4</v>
      </c>
      <c r="F20">
        <v>114.9</v>
      </c>
      <c r="G20">
        <v>110.5</v>
      </c>
      <c r="H20">
        <v>109.3</v>
      </c>
      <c r="I20">
        <v>106.2</v>
      </c>
      <c r="J20">
        <v>110.3</v>
      </c>
      <c r="K20">
        <v>129.19999999999999</v>
      </c>
      <c r="L20">
        <v>107.1</v>
      </c>
      <c r="M20">
        <v>104.3</v>
      </c>
      <c r="N20">
        <v>106.4</v>
      </c>
      <c r="O20">
        <v>109.1</v>
      </c>
      <c r="P20">
        <v>112.1</v>
      </c>
      <c r="Q20" s="3">
        <v>113.1</v>
      </c>
      <c r="R20" s="7">
        <v>109.8</v>
      </c>
      <c r="S20">
        <v>110.5</v>
      </c>
      <c r="T20">
        <v>109.5</v>
      </c>
      <c r="U20" s="5">
        <v>110.3</v>
      </c>
      <c r="V20" s="6" t="s">
        <v>32</v>
      </c>
      <c r="W20" s="4">
        <v>109.5</v>
      </c>
      <c r="X20">
        <v>108.3</v>
      </c>
      <c r="Y20">
        <v>106.9</v>
      </c>
      <c r="Z20">
        <v>106.8</v>
      </c>
      <c r="AA20">
        <v>106.4</v>
      </c>
      <c r="AB20">
        <v>107.8</v>
      </c>
      <c r="AC20">
        <v>102.5</v>
      </c>
      <c r="AD20" s="7">
        <v>106.5</v>
      </c>
      <c r="AE20">
        <v>110.7</v>
      </c>
    </row>
    <row r="21" spans="1:31" x14ac:dyDescent="0.3">
      <c r="A21" t="s">
        <v>33</v>
      </c>
      <c r="B21">
        <v>2013</v>
      </c>
      <c r="C21" t="s">
        <v>40</v>
      </c>
      <c r="D21" s="10" t="str">
        <f xml:space="preserve"> _xlfn.CONCAT(Table1[[#This Row],[Month]],",",Table1[[#This Row],[Year]])</f>
        <v>July,2013</v>
      </c>
      <c r="E21">
        <v>117.8</v>
      </c>
      <c r="F21">
        <v>119.2</v>
      </c>
      <c r="G21">
        <v>114</v>
      </c>
      <c r="H21">
        <v>108.3</v>
      </c>
      <c r="I21">
        <v>101.1</v>
      </c>
      <c r="J21">
        <v>113.2</v>
      </c>
      <c r="K21">
        <v>160.9</v>
      </c>
      <c r="L21">
        <v>105.1</v>
      </c>
      <c r="M21">
        <v>101.3</v>
      </c>
      <c r="N21">
        <v>107.5</v>
      </c>
      <c r="O21">
        <v>110.4</v>
      </c>
      <c r="P21">
        <v>113.1</v>
      </c>
      <c r="Q21" s="3">
        <v>117.5</v>
      </c>
      <c r="R21" s="7">
        <v>111.7</v>
      </c>
      <c r="S21">
        <v>109.8</v>
      </c>
      <c r="T21">
        <v>107.8</v>
      </c>
      <c r="U21" s="5">
        <v>109.5</v>
      </c>
      <c r="V21" s="6">
        <v>107.7</v>
      </c>
      <c r="W21" s="4">
        <v>108.6</v>
      </c>
      <c r="X21">
        <v>108.1</v>
      </c>
      <c r="Y21">
        <v>107.1</v>
      </c>
      <c r="Z21">
        <v>107.3</v>
      </c>
      <c r="AA21">
        <v>105.9</v>
      </c>
      <c r="AB21">
        <v>110.1</v>
      </c>
      <c r="AC21">
        <v>103.2</v>
      </c>
      <c r="AD21" s="7">
        <v>107.3</v>
      </c>
      <c r="AE21">
        <v>111.4</v>
      </c>
    </row>
    <row r="22" spans="1:31" x14ac:dyDescent="0.3">
      <c r="A22" t="s">
        <v>34</v>
      </c>
      <c r="B22">
        <v>2013</v>
      </c>
      <c r="C22" t="s">
        <v>40</v>
      </c>
      <c r="D22" s="10" t="str">
        <f xml:space="preserve"> _xlfn.CONCAT(Table1[[#This Row],[Month]],",",Table1[[#This Row],[Year]])</f>
        <v>July,2013</v>
      </c>
      <c r="E22">
        <v>114.8</v>
      </c>
      <c r="F22">
        <v>116.4</v>
      </c>
      <c r="G22">
        <v>111.9</v>
      </c>
      <c r="H22">
        <v>108.9</v>
      </c>
      <c r="I22">
        <v>104.3</v>
      </c>
      <c r="J22">
        <v>111.7</v>
      </c>
      <c r="K22">
        <v>140</v>
      </c>
      <c r="L22">
        <v>106.4</v>
      </c>
      <c r="M22">
        <v>103.3</v>
      </c>
      <c r="N22">
        <v>106.8</v>
      </c>
      <c r="O22">
        <v>109.6</v>
      </c>
      <c r="P22">
        <v>112.6</v>
      </c>
      <c r="Q22" s="3">
        <v>114.7</v>
      </c>
      <c r="R22" s="7">
        <v>110.3</v>
      </c>
      <c r="S22">
        <v>110.2</v>
      </c>
      <c r="T22">
        <v>108.8</v>
      </c>
      <c r="U22" s="5">
        <v>110</v>
      </c>
      <c r="V22" s="6">
        <v>107.7</v>
      </c>
      <c r="W22" s="4">
        <v>109.2</v>
      </c>
      <c r="X22">
        <v>108.2</v>
      </c>
      <c r="Y22">
        <v>107</v>
      </c>
      <c r="Z22">
        <v>107.1</v>
      </c>
      <c r="AA22">
        <v>106.1</v>
      </c>
      <c r="AB22">
        <v>109.1</v>
      </c>
      <c r="AC22">
        <v>102.8</v>
      </c>
      <c r="AD22" s="7">
        <v>106.9</v>
      </c>
      <c r="AE22">
        <v>111</v>
      </c>
    </row>
    <row r="23" spans="1:31" x14ac:dyDescent="0.3">
      <c r="A23" t="s">
        <v>30</v>
      </c>
      <c r="B23">
        <v>2013</v>
      </c>
      <c r="C23" t="s">
        <v>41</v>
      </c>
      <c r="D23" s="10" t="str">
        <f xml:space="preserve"> _xlfn.CONCAT(Table1[[#This Row],[Month]],",",Table1[[#This Row],[Year]])</f>
        <v>August,2013</v>
      </c>
      <c r="E23">
        <v>114.3</v>
      </c>
      <c r="F23">
        <v>115.4</v>
      </c>
      <c r="G23">
        <v>111.1</v>
      </c>
      <c r="H23">
        <v>110</v>
      </c>
      <c r="I23">
        <v>106.4</v>
      </c>
      <c r="J23">
        <v>110.8</v>
      </c>
      <c r="K23">
        <v>138.9</v>
      </c>
      <c r="L23">
        <v>107.4</v>
      </c>
      <c r="M23">
        <v>104.1</v>
      </c>
      <c r="N23">
        <v>106.9</v>
      </c>
      <c r="O23">
        <v>109.7</v>
      </c>
      <c r="P23">
        <v>112.6</v>
      </c>
      <c r="Q23" s="3">
        <v>114.9</v>
      </c>
      <c r="R23" s="7">
        <v>110.7</v>
      </c>
      <c r="S23">
        <v>111.3</v>
      </c>
      <c r="T23">
        <v>110.2</v>
      </c>
      <c r="U23" s="5">
        <v>111.1</v>
      </c>
      <c r="V23" s="6" t="s">
        <v>32</v>
      </c>
      <c r="W23" s="4">
        <v>109.9</v>
      </c>
      <c r="X23">
        <v>108.7</v>
      </c>
      <c r="Y23">
        <v>107.5</v>
      </c>
      <c r="Z23">
        <v>107.8</v>
      </c>
      <c r="AA23">
        <v>106.8</v>
      </c>
      <c r="AB23">
        <v>108.7</v>
      </c>
      <c r="AC23">
        <v>105</v>
      </c>
      <c r="AD23" s="7">
        <v>107.5</v>
      </c>
      <c r="AE23">
        <v>112.1</v>
      </c>
    </row>
    <row r="24" spans="1:31" x14ac:dyDescent="0.3">
      <c r="A24" t="s">
        <v>33</v>
      </c>
      <c r="B24">
        <v>2013</v>
      </c>
      <c r="C24" t="s">
        <v>41</v>
      </c>
      <c r="D24" s="10" t="str">
        <f xml:space="preserve"> _xlfn.CONCAT(Table1[[#This Row],[Month]],",",Table1[[#This Row],[Year]])</f>
        <v>August,2013</v>
      </c>
      <c r="E24">
        <v>118.3</v>
      </c>
      <c r="F24">
        <v>120.4</v>
      </c>
      <c r="G24">
        <v>112.7</v>
      </c>
      <c r="H24">
        <v>108.9</v>
      </c>
      <c r="I24">
        <v>101.1</v>
      </c>
      <c r="J24">
        <v>108.7</v>
      </c>
      <c r="K24">
        <v>177</v>
      </c>
      <c r="L24">
        <v>104.7</v>
      </c>
      <c r="M24">
        <v>101</v>
      </c>
      <c r="N24">
        <v>108.5</v>
      </c>
      <c r="O24">
        <v>110.9</v>
      </c>
      <c r="P24">
        <v>114.3</v>
      </c>
      <c r="Q24" s="3">
        <v>119.6</v>
      </c>
      <c r="R24" s="7">
        <v>112.4</v>
      </c>
      <c r="S24">
        <v>110.6</v>
      </c>
      <c r="T24">
        <v>108.3</v>
      </c>
      <c r="U24" s="5">
        <v>110.2</v>
      </c>
      <c r="V24" s="6">
        <v>108.9</v>
      </c>
      <c r="W24" s="4">
        <v>109.3</v>
      </c>
      <c r="X24">
        <v>108.7</v>
      </c>
      <c r="Y24">
        <v>107.6</v>
      </c>
      <c r="Z24">
        <v>108.1</v>
      </c>
      <c r="AA24">
        <v>106.5</v>
      </c>
      <c r="AB24">
        <v>110.8</v>
      </c>
      <c r="AC24">
        <v>106</v>
      </c>
      <c r="AD24" s="7">
        <v>108.3</v>
      </c>
      <c r="AE24">
        <v>112.7</v>
      </c>
    </row>
    <row r="25" spans="1:31" x14ac:dyDescent="0.3">
      <c r="A25" t="s">
        <v>34</v>
      </c>
      <c r="B25">
        <v>2013</v>
      </c>
      <c r="C25" t="s">
        <v>41</v>
      </c>
      <c r="D25" s="10" t="str">
        <f xml:space="preserve"> _xlfn.CONCAT(Table1[[#This Row],[Month]],",",Table1[[#This Row],[Year]])</f>
        <v>August,2013</v>
      </c>
      <c r="E25">
        <v>115.6</v>
      </c>
      <c r="F25">
        <v>117.2</v>
      </c>
      <c r="G25">
        <v>111.7</v>
      </c>
      <c r="H25">
        <v>109.6</v>
      </c>
      <c r="I25">
        <v>104.5</v>
      </c>
      <c r="J25">
        <v>109.8</v>
      </c>
      <c r="K25">
        <v>151.80000000000001</v>
      </c>
      <c r="L25">
        <v>106.5</v>
      </c>
      <c r="M25">
        <v>103.1</v>
      </c>
      <c r="N25">
        <v>107.4</v>
      </c>
      <c r="O25">
        <v>110.2</v>
      </c>
      <c r="P25">
        <v>113.4</v>
      </c>
      <c r="Q25" s="3">
        <v>116.6</v>
      </c>
      <c r="R25" s="7">
        <v>111.2</v>
      </c>
      <c r="S25">
        <v>111</v>
      </c>
      <c r="T25">
        <v>109.4</v>
      </c>
      <c r="U25" s="5">
        <v>110.7</v>
      </c>
      <c r="V25" s="6">
        <v>108.9</v>
      </c>
      <c r="W25" s="4">
        <v>109.7</v>
      </c>
      <c r="X25">
        <v>108.7</v>
      </c>
      <c r="Y25">
        <v>107.5</v>
      </c>
      <c r="Z25">
        <v>108</v>
      </c>
      <c r="AA25">
        <v>106.6</v>
      </c>
      <c r="AB25">
        <v>109.9</v>
      </c>
      <c r="AC25">
        <v>105.4</v>
      </c>
      <c r="AD25" s="7">
        <v>107.9</v>
      </c>
      <c r="AE25">
        <v>112.4</v>
      </c>
    </row>
    <row r="26" spans="1:31" x14ac:dyDescent="0.3">
      <c r="A26" t="s">
        <v>30</v>
      </c>
      <c r="B26">
        <v>2013</v>
      </c>
      <c r="C26" t="s">
        <v>42</v>
      </c>
      <c r="D26" s="10" t="str">
        <f xml:space="preserve"> _xlfn.CONCAT(Table1[[#This Row],[Month]],",",Table1[[#This Row],[Year]])</f>
        <v>September,2013</v>
      </c>
      <c r="E26">
        <v>115.4</v>
      </c>
      <c r="F26">
        <v>115.7</v>
      </c>
      <c r="G26">
        <v>111.7</v>
      </c>
      <c r="H26">
        <v>111</v>
      </c>
      <c r="I26">
        <v>107.4</v>
      </c>
      <c r="J26">
        <v>110.9</v>
      </c>
      <c r="K26">
        <v>154</v>
      </c>
      <c r="L26">
        <v>108.1</v>
      </c>
      <c r="M26">
        <v>104.2</v>
      </c>
      <c r="N26">
        <v>107.9</v>
      </c>
      <c r="O26">
        <v>110.4</v>
      </c>
      <c r="P26">
        <v>114</v>
      </c>
      <c r="Q26" s="3">
        <v>117.8</v>
      </c>
      <c r="R26" s="7">
        <v>111.7</v>
      </c>
      <c r="S26">
        <v>112.7</v>
      </c>
      <c r="T26">
        <v>111.4</v>
      </c>
      <c r="U26" s="5">
        <v>112.5</v>
      </c>
      <c r="V26" s="6" t="s">
        <v>32</v>
      </c>
      <c r="W26" s="4">
        <v>111.1</v>
      </c>
      <c r="X26">
        <v>109.6</v>
      </c>
      <c r="Y26">
        <v>108.3</v>
      </c>
      <c r="Z26">
        <v>109.3</v>
      </c>
      <c r="AA26">
        <v>107.7</v>
      </c>
      <c r="AB26">
        <v>109.8</v>
      </c>
      <c r="AC26">
        <v>106.7</v>
      </c>
      <c r="AD26" s="7">
        <v>108.7</v>
      </c>
      <c r="AE26">
        <v>114.2</v>
      </c>
    </row>
    <row r="27" spans="1:31" x14ac:dyDescent="0.3">
      <c r="A27" t="s">
        <v>33</v>
      </c>
      <c r="B27">
        <v>2013</v>
      </c>
      <c r="C27" t="s">
        <v>42</v>
      </c>
      <c r="D27" s="10" t="str">
        <f xml:space="preserve"> _xlfn.CONCAT(Table1[[#This Row],[Month]],",",Table1[[#This Row],[Year]])</f>
        <v>September,2013</v>
      </c>
      <c r="E27">
        <v>118.6</v>
      </c>
      <c r="F27">
        <v>119.1</v>
      </c>
      <c r="G27">
        <v>113.2</v>
      </c>
      <c r="H27">
        <v>109.6</v>
      </c>
      <c r="I27">
        <v>101.7</v>
      </c>
      <c r="J27">
        <v>103.2</v>
      </c>
      <c r="K27">
        <v>174.3</v>
      </c>
      <c r="L27">
        <v>105.1</v>
      </c>
      <c r="M27">
        <v>100.8</v>
      </c>
      <c r="N27">
        <v>109.1</v>
      </c>
      <c r="O27">
        <v>111.1</v>
      </c>
      <c r="P27">
        <v>115.4</v>
      </c>
      <c r="Q27" s="3">
        <v>119.2</v>
      </c>
      <c r="R27" s="7">
        <v>112.9</v>
      </c>
      <c r="S27">
        <v>111.4</v>
      </c>
      <c r="T27">
        <v>109</v>
      </c>
      <c r="U27" s="5">
        <v>111.1</v>
      </c>
      <c r="V27" s="6">
        <v>109.7</v>
      </c>
      <c r="W27" s="4">
        <v>109.5</v>
      </c>
      <c r="X27">
        <v>109.6</v>
      </c>
      <c r="Y27">
        <v>107.9</v>
      </c>
      <c r="Z27">
        <v>110.4</v>
      </c>
      <c r="AA27">
        <v>107.4</v>
      </c>
      <c r="AB27">
        <v>111.2</v>
      </c>
      <c r="AC27">
        <v>106.9</v>
      </c>
      <c r="AD27" s="7">
        <v>109.4</v>
      </c>
      <c r="AE27">
        <v>113.2</v>
      </c>
    </row>
    <row r="28" spans="1:31" x14ac:dyDescent="0.3">
      <c r="A28" t="s">
        <v>34</v>
      </c>
      <c r="B28">
        <v>2013</v>
      </c>
      <c r="C28" t="s">
        <v>42</v>
      </c>
      <c r="D28" s="10" t="str">
        <f xml:space="preserve"> _xlfn.CONCAT(Table1[[#This Row],[Month]],",",Table1[[#This Row],[Year]])</f>
        <v>September,2013</v>
      </c>
      <c r="E28">
        <v>116.4</v>
      </c>
      <c r="F28">
        <v>116.9</v>
      </c>
      <c r="G28">
        <v>112.3</v>
      </c>
      <c r="H28">
        <v>110.5</v>
      </c>
      <c r="I28">
        <v>105.3</v>
      </c>
      <c r="J28">
        <v>107.3</v>
      </c>
      <c r="K28">
        <v>160.9</v>
      </c>
      <c r="L28">
        <v>107.1</v>
      </c>
      <c r="M28">
        <v>103.1</v>
      </c>
      <c r="N28">
        <v>108.3</v>
      </c>
      <c r="O28">
        <v>110.7</v>
      </c>
      <c r="P28">
        <v>114.6</v>
      </c>
      <c r="Q28" s="3">
        <v>118.3</v>
      </c>
      <c r="R28" s="7">
        <v>112</v>
      </c>
      <c r="S28">
        <v>112.2</v>
      </c>
      <c r="T28">
        <v>110.4</v>
      </c>
      <c r="U28" s="5">
        <v>111.9</v>
      </c>
      <c r="V28" s="6">
        <v>109.7</v>
      </c>
      <c r="W28" s="4">
        <v>110.5</v>
      </c>
      <c r="X28">
        <v>109.6</v>
      </c>
      <c r="Y28">
        <v>108.1</v>
      </c>
      <c r="Z28">
        <v>109.9</v>
      </c>
      <c r="AA28">
        <v>107.5</v>
      </c>
      <c r="AB28">
        <v>110.6</v>
      </c>
      <c r="AC28">
        <v>106.8</v>
      </c>
      <c r="AD28" s="7">
        <v>109</v>
      </c>
      <c r="AE28">
        <v>113.7</v>
      </c>
    </row>
    <row r="29" spans="1:31" x14ac:dyDescent="0.3">
      <c r="A29" t="s">
        <v>30</v>
      </c>
      <c r="B29">
        <v>2013</v>
      </c>
      <c r="C29" t="s">
        <v>43</v>
      </c>
      <c r="D29" s="10" t="str">
        <f xml:space="preserve"> _xlfn.CONCAT(Table1[[#This Row],[Month]],",",Table1[[#This Row],[Year]])</f>
        <v>October,2013</v>
      </c>
      <c r="E29">
        <v>116.3</v>
      </c>
      <c r="F29">
        <v>115.4</v>
      </c>
      <c r="G29">
        <v>112.6</v>
      </c>
      <c r="H29">
        <v>111.7</v>
      </c>
      <c r="I29">
        <v>107.7</v>
      </c>
      <c r="J29">
        <v>113.2</v>
      </c>
      <c r="K29">
        <v>164.9</v>
      </c>
      <c r="L29">
        <v>108.3</v>
      </c>
      <c r="M29">
        <v>103.9</v>
      </c>
      <c r="N29">
        <v>108.2</v>
      </c>
      <c r="O29">
        <v>111.1</v>
      </c>
      <c r="P29">
        <v>114.9</v>
      </c>
      <c r="Q29" s="3">
        <v>119.8</v>
      </c>
      <c r="R29" s="7">
        <v>112.2</v>
      </c>
      <c r="S29">
        <v>113.6</v>
      </c>
      <c r="T29">
        <v>112.3</v>
      </c>
      <c r="U29" s="5">
        <v>113.4</v>
      </c>
      <c r="V29" s="6" t="s">
        <v>32</v>
      </c>
      <c r="W29" s="4">
        <v>111.6</v>
      </c>
      <c r="X29">
        <v>110.4</v>
      </c>
      <c r="Y29">
        <v>108.9</v>
      </c>
      <c r="Z29">
        <v>109.3</v>
      </c>
      <c r="AA29">
        <v>108.3</v>
      </c>
      <c r="AB29">
        <v>110.2</v>
      </c>
      <c r="AC29">
        <v>107.5</v>
      </c>
      <c r="AD29" s="7">
        <v>109.1</v>
      </c>
      <c r="AE29">
        <v>115.5</v>
      </c>
    </row>
    <row r="30" spans="1:31" x14ac:dyDescent="0.3">
      <c r="A30" t="s">
        <v>33</v>
      </c>
      <c r="B30">
        <v>2013</v>
      </c>
      <c r="C30" t="s">
        <v>43</v>
      </c>
      <c r="D30" s="10" t="str">
        <f xml:space="preserve"> _xlfn.CONCAT(Table1[[#This Row],[Month]],",",Table1[[#This Row],[Year]])</f>
        <v>October,2013</v>
      </c>
      <c r="E30">
        <v>118.9</v>
      </c>
      <c r="F30">
        <v>118.1</v>
      </c>
      <c r="G30">
        <v>114.5</v>
      </c>
      <c r="H30">
        <v>110.4</v>
      </c>
      <c r="I30">
        <v>102.3</v>
      </c>
      <c r="J30">
        <v>106.2</v>
      </c>
      <c r="K30">
        <v>183.5</v>
      </c>
      <c r="L30">
        <v>105.3</v>
      </c>
      <c r="M30">
        <v>100.2</v>
      </c>
      <c r="N30">
        <v>109.6</v>
      </c>
      <c r="O30">
        <v>111.4</v>
      </c>
      <c r="P30">
        <v>116</v>
      </c>
      <c r="Q30" s="3">
        <v>120.8</v>
      </c>
      <c r="R30" s="7">
        <v>113.5</v>
      </c>
      <c r="S30">
        <v>112.5</v>
      </c>
      <c r="T30">
        <v>109.7</v>
      </c>
      <c r="U30" s="5">
        <v>112</v>
      </c>
      <c r="V30" s="6">
        <v>110.5</v>
      </c>
      <c r="W30" s="4">
        <v>109.7</v>
      </c>
      <c r="X30">
        <v>110.2</v>
      </c>
      <c r="Y30">
        <v>108.2</v>
      </c>
      <c r="Z30">
        <v>109.7</v>
      </c>
      <c r="AA30">
        <v>108</v>
      </c>
      <c r="AB30">
        <v>111.3</v>
      </c>
      <c r="AC30">
        <v>107.3</v>
      </c>
      <c r="AD30" s="7">
        <v>109.4</v>
      </c>
      <c r="AE30">
        <v>114</v>
      </c>
    </row>
    <row r="31" spans="1:31" x14ac:dyDescent="0.3">
      <c r="A31" t="s">
        <v>34</v>
      </c>
      <c r="B31">
        <v>2013</v>
      </c>
      <c r="C31" t="s">
        <v>43</v>
      </c>
      <c r="D31" s="10" t="str">
        <f xml:space="preserve"> _xlfn.CONCAT(Table1[[#This Row],[Month]],",",Table1[[#This Row],[Year]])</f>
        <v>October,2013</v>
      </c>
      <c r="E31">
        <v>117.1</v>
      </c>
      <c r="F31">
        <v>116.3</v>
      </c>
      <c r="G31">
        <v>113.3</v>
      </c>
      <c r="H31">
        <v>111.2</v>
      </c>
      <c r="I31">
        <v>105.7</v>
      </c>
      <c r="J31">
        <v>109.9</v>
      </c>
      <c r="K31">
        <v>171.2</v>
      </c>
      <c r="L31">
        <v>107.3</v>
      </c>
      <c r="M31">
        <v>102.7</v>
      </c>
      <c r="N31">
        <v>108.7</v>
      </c>
      <c r="O31">
        <v>111.2</v>
      </c>
      <c r="P31">
        <v>115.4</v>
      </c>
      <c r="Q31" s="3">
        <v>120.2</v>
      </c>
      <c r="R31" s="7">
        <v>112.5</v>
      </c>
      <c r="S31">
        <v>113.2</v>
      </c>
      <c r="T31">
        <v>111.2</v>
      </c>
      <c r="U31" s="5">
        <v>112.8</v>
      </c>
      <c r="V31" s="6">
        <v>110.5</v>
      </c>
      <c r="W31" s="4">
        <v>110.9</v>
      </c>
      <c r="X31">
        <v>110.3</v>
      </c>
      <c r="Y31">
        <v>108.6</v>
      </c>
      <c r="Z31">
        <v>109.5</v>
      </c>
      <c r="AA31">
        <v>108.1</v>
      </c>
      <c r="AB31">
        <v>110.8</v>
      </c>
      <c r="AC31">
        <v>107.4</v>
      </c>
      <c r="AD31" s="7">
        <v>109.2</v>
      </c>
      <c r="AE31">
        <v>114.8</v>
      </c>
    </row>
    <row r="32" spans="1:31" x14ac:dyDescent="0.3">
      <c r="A32" t="s">
        <v>30</v>
      </c>
      <c r="B32">
        <v>2013</v>
      </c>
      <c r="C32" t="s">
        <v>44</v>
      </c>
      <c r="D32" s="10" t="str">
        <f xml:space="preserve"> _xlfn.CONCAT(Table1[[#This Row],[Month]],",",Table1[[#This Row],[Year]])</f>
        <v>November ,2013</v>
      </c>
      <c r="E32">
        <v>117.3</v>
      </c>
      <c r="F32">
        <v>114.9</v>
      </c>
      <c r="G32">
        <v>116.2</v>
      </c>
      <c r="H32">
        <v>112.8</v>
      </c>
      <c r="I32">
        <v>108.9</v>
      </c>
      <c r="J32">
        <v>116.6</v>
      </c>
      <c r="K32">
        <v>178.1</v>
      </c>
      <c r="L32">
        <v>109.1</v>
      </c>
      <c r="M32">
        <v>103.6</v>
      </c>
      <c r="N32">
        <v>109</v>
      </c>
      <c r="O32">
        <v>111.8</v>
      </c>
      <c r="P32">
        <v>116</v>
      </c>
      <c r="Q32" s="3">
        <v>122.5</v>
      </c>
      <c r="R32" s="7">
        <v>112.8</v>
      </c>
      <c r="S32">
        <v>114.6</v>
      </c>
      <c r="T32">
        <v>113.1</v>
      </c>
      <c r="U32" s="5">
        <v>114.4</v>
      </c>
      <c r="V32" s="6" t="s">
        <v>32</v>
      </c>
      <c r="W32" s="4">
        <v>112.6</v>
      </c>
      <c r="X32">
        <v>111.3</v>
      </c>
      <c r="Y32">
        <v>109.7</v>
      </c>
      <c r="Z32">
        <v>109.6</v>
      </c>
      <c r="AA32">
        <v>108.7</v>
      </c>
      <c r="AB32">
        <v>111</v>
      </c>
      <c r="AC32">
        <v>108.2</v>
      </c>
      <c r="AD32" s="7">
        <v>109.8</v>
      </c>
      <c r="AE32">
        <v>117.4</v>
      </c>
    </row>
    <row r="33" spans="1:31" x14ac:dyDescent="0.3">
      <c r="A33" t="s">
        <v>33</v>
      </c>
      <c r="B33">
        <v>2013</v>
      </c>
      <c r="C33" t="s">
        <v>45</v>
      </c>
      <c r="D33" s="10" t="str">
        <f xml:space="preserve"> _xlfn.CONCAT(Table1[[#This Row],[Month]],",",Table1[[#This Row],[Year]])</f>
        <v>November,2013</v>
      </c>
      <c r="E33">
        <v>119.8</v>
      </c>
      <c r="F33">
        <v>116.3</v>
      </c>
      <c r="G33">
        <v>122.6</v>
      </c>
      <c r="H33">
        <v>112</v>
      </c>
      <c r="I33">
        <v>103.2</v>
      </c>
      <c r="J33">
        <v>110</v>
      </c>
      <c r="K33">
        <v>192.8</v>
      </c>
      <c r="L33">
        <v>106.3</v>
      </c>
      <c r="M33">
        <v>99.5</v>
      </c>
      <c r="N33">
        <v>110.3</v>
      </c>
      <c r="O33">
        <v>111.8</v>
      </c>
      <c r="P33">
        <v>117.1</v>
      </c>
      <c r="Q33" s="3">
        <v>122.9</v>
      </c>
      <c r="R33" s="7">
        <v>114.1</v>
      </c>
      <c r="S33">
        <v>113.5</v>
      </c>
      <c r="T33">
        <v>110.3</v>
      </c>
      <c r="U33" s="5">
        <v>113</v>
      </c>
      <c r="V33" s="6">
        <v>111.1</v>
      </c>
      <c r="W33" s="4">
        <v>110</v>
      </c>
      <c r="X33">
        <v>110.9</v>
      </c>
      <c r="Y33">
        <v>108.6</v>
      </c>
      <c r="Z33">
        <v>109.5</v>
      </c>
      <c r="AA33">
        <v>108.5</v>
      </c>
      <c r="AB33">
        <v>111.3</v>
      </c>
      <c r="AC33">
        <v>107.9</v>
      </c>
      <c r="AD33" s="7">
        <v>109.6</v>
      </c>
      <c r="AE33">
        <v>115</v>
      </c>
    </row>
    <row r="34" spans="1:31" x14ac:dyDescent="0.3">
      <c r="A34" t="s">
        <v>34</v>
      </c>
      <c r="B34">
        <v>2013</v>
      </c>
      <c r="C34" t="s">
        <v>45</v>
      </c>
      <c r="D34" s="10" t="str">
        <f xml:space="preserve"> _xlfn.CONCAT(Table1[[#This Row],[Month]],",",Table1[[#This Row],[Year]])</f>
        <v>November,2013</v>
      </c>
      <c r="E34">
        <v>118.1</v>
      </c>
      <c r="F34">
        <v>115.4</v>
      </c>
      <c r="G34">
        <v>118.7</v>
      </c>
      <c r="H34">
        <v>112.5</v>
      </c>
      <c r="I34">
        <v>106.8</v>
      </c>
      <c r="J34">
        <v>113.5</v>
      </c>
      <c r="K34">
        <v>183.1</v>
      </c>
      <c r="L34">
        <v>108.2</v>
      </c>
      <c r="M34">
        <v>102.2</v>
      </c>
      <c r="N34">
        <v>109.4</v>
      </c>
      <c r="O34">
        <v>111.8</v>
      </c>
      <c r="P34">
        <v>116.5</v>
      </c>
      <c r="Q34" s="3">
        <v>122.6</v>
      </c>
      <c r="R34" s="7">
        <v>113.1</v>
      </c>
      <c r="S34">
        <v>114.2</v>
      </c>
      <c r="T34">
        <v>111.9</v>
      </c>
      <c r="U34" s="5">
        <v>113.8</v>
      </c>
      <c r="V34" s="6">
        <v>111.1</v>
      </c>
      <c r="W34" s="4">
        <v>111.6</v>
      </c>
      <c r="X34">
        <v>111.1</v>
      </c>
      <c r="Y34">
        <v>109.3</v>
      </c>
      <c r="Z34">
        <v>109.5</v>
      </c>
      <c r="AA34">
        <v>108.6</v>
      </c>
      <c r="AB34">
        <v>111.2</v>
      </c>
      <c r="AC34">
        <v>108.1</v>
      </c>
      <c r="AD34" s="7">
        <v>109.7</v>
      </c>
      <c r="AE34">
        <v>116.3</v>
      </c>
    </row>
    <row r="35" spans="1:31" x14ac:dyDescent="0.3">
      <c r="A35" t="s">
        <v>30</v>
      </c>
      <c r="B35">
        <v>2013</v>
      </c>
      <c r="C35" t="s">
        <v>46</v>
      </c>
      <c r="D35" s="10" t="str">
        <f xml:space="preserve"> _xlfn.CONCAT(Table1[[#This Row],[Month]],",",Table1[[#This Row],[Year]])</f>
        <v>December,2013</v>
      </c>
      <c r="E35">
        <v>118.4</v>
      </c>
      <c r="F35">
        <v>115.9</v>
      </c>
      <c r="G35">
        <v>120.4</v>
      </c>
      <c r="H35">
        <v>113.8</v>
      </c>
      <c r="I35">
        <v>109.5</v>
      </c>
      <c r="J35">
        <v>115.5</v>
      </c>
      <c r="K35">
        <v>145.69999999999999</v>
      </c>
      <c r="L35">
        <v>109.5</v>
      </c>
      <c r="M35">
        <v>102.9</v>
      </c>
      <c r="N35">
        <v>109.8</v>
      </c>
      <c r="O35">
        <v>112.1</v>
      </c>
      <c r="P35">
        <v>116.8</v>
      </c>
      <c r="Q35" s="3">
        <v>118.7</v>
      </c>
      <c r="R35" s="7">
        <v>113.6</v>
      </c>
      <c r="S35">
        <v>115.8</v>
      </c>
      <c r="T35">
        <v>114</v>
      </c>
      <c r="U35" s="5">
        <v>115.5</v>
      </c>
      <c r="V35" s="6" t="s">
        <v>32</v>
      </c>
      <c r="W35" s="4">
        <v>112.8</v>
      </c>
      <c r="X35">
        <v>112.1</v>
      </c>
      <c r="Y35">
        <v>110.1</v>
      </c>
      <c r="Z35">
        <v>109.9</v>
      </c>
      <c r="AA35">
        <v>109.2</v>
      </c>
      <c r="AB35">
        <v>111.6</v>
      </c>
      <c r="AC35">
        <v>108.1</v>
      </c>
      <c r="AD35" s="7">
        <v>110.1</v>
      </c>
      <c r="AE35">
        <v>115.5</v>
      </c>
    </row>
    <row r="36" spans="1:31" x14ac:dyDescent="0.3">
      <c r="A36" t="s">
        <v>33</v>
      </c>
      <c r="B36">
        <v>2013</v>
      </c>
      <c r="C36" t="s">
        <v>46</v>
      </c>
      <c r="D36" s="10" t="str">
        <f xml:space="preserve"> _xlfn.CONCAT(Table1[[#This Row],[Month]],",",Table1[[#This Row],[Year]])</f>
        <v>December,2013</v>
      </c>
      <c r="E36">
        <v>120.5</v>
      </c>
      <c r="F36">
        <v>118.1</v>
      </c>
      <c r="G36">
        <v>128.5</v>
      </c>
      <c r="H36">
        <v>112.8</v>
      </c>
      <c r="I36">
        <v>103.4</v>
      </c>
      <c r="J36">
        <v>110.7</v>
      </c>
      <c r="K36">
        <v>144.80000000000001</v>
      </c>
      <c r="L36">
        <v>107.1</v>
      </c>
      <c r="M36">
        <v>98.6</v>
      </c>
      <c r="N36">
        <v>111.9</v>
      </c>
      <c r="O36">
        <v>112.1</v>
      </c>
      <c r="P36">
        <v>118.1</v>
      </c>
      <c r="Q36" s="3">
        <v>117.8</v>
      </c>
      <c r="R36" s="7">
        <v>115</v>
      </c>
      <c r="S36">
        <v>114.2</v>
      </c>
      <c r="T36">
        <v>110.9</v>
      </c>
      <c r="U36" s="5">
        <v>113.7</v>
      </c>
      <c r="V36" s="6">
        <v>110.7</v>
      </c>
      <c r="W36" s="4">
        <v>110.4</v>
      </c>
      <c r="X36">
        <v>111.3</v>
      </c>
      <c r="Y36">
        <v>109</v>
      </c>
      <c r="Z36">
        <v>109.7</v>
      </c>
      <c r="AA36">
        <v>108.9</v>
      </c>
      <c r="AB36">
        <v>111.4</v>
      </c>
      <c r="AC36">
        <v>107.7</v>
      </c>
      <c r="AD36" s="7">
        <v>109.8</v>
      </c>
      <c r="AE36">
        <v>113.3</v>
      </c>
    </row>
    <row r="37" spans="1:31" x14ac:dyDescent="0.3">
      <c r="A37" t="s">
        <v>34</v>
      </c>
      <c r="B37">
        <v>2013</v>
      </c>
      <c r="C37" t="s">
        <v>46</v>
      </c>
      <c r="D37" s="10" t="str">
        <f xml:space="preserve"> _xlfn.CONCAT(Table1[[#This Row],[Month]],",",Table1[[#This Row],[Year]])</f>
        <v>December,2013</v>
      </c>
      <c r="E37">
        <v>119.1</v>
      </c>
      <c r="F37">
        <v>116.7</v>
      </c>
      <c r="G37">
        <v>123.5</v>
      </c>
      <c r="H37">
        <v>113.4</v>
      </c>
      <c r="I37">
        <v>107.3</v>
      </c>
      <c r="J37">
        <v>113.3</v>
      </c>
      <c r="K37">
        <v>145.4</v>
      </c>
      <c r="L37">
        <v>108.7</v>
      </c>
      <c r="M37">
        <v>101.5</v>
      </c>
      <c r="N37">
        <v>110.5</v>
      </c>
      <c r="O37">
        <v>112.1</v>
      </c>
      <c r="P37">
        <v>117.4</v>
      </c>
      <c r="Q37" s="3">
        <v>118.4</v>
      </c>
      <c r="R37" s="7">
        <v>114</v>
      </c>
      <c r="S37">
        <v>115.2</v>
      </c>
      <c r="T37">
        <v>112.7</v>
      </c>
      <c r="U37" s="5">
        <v>114.8</v>
      </c>
      <c r="V37" s="6">
        <v>110.7</v>
      </c>
      <c r="W37" s="4">
        <v>111.9</v>
      </c>
      <c r="X37">
        <v>111.7</v>
      </c>
      <c r="Y37">
        <v>109.7</v>
      </c>
      <c r="Z37">
        <v>109.8</v>
      </c>
      <c r="AA37">
        <v>109</v>
      </c>
      <c r="AB37">
        <v>111.5</v>
      </c>
      <c r="AC37">
        <v>107.9</v>
      </c>
      <c r="AD37" s="7">
        <v>110</v>
      </c>
      <c r="AE37">
        <v>114.5</v>
      </c>
    </row>
    <row r="38" spans="1:31" x14ac:dyDescent="0.3">
      <c r="A38" t="s">
        <v>30</v>
      </c>
      <c r="B38">
        <v>2014</v>
      </c>
      <c r="C38" t="s">
        <v>31</v>
      </c>
      <c r="D38" s="10" t="str">
        <f xml:space="preserve"> _xlfn.CONCAT(Table1[[#This Row],[Month]],",",Table1[[#This Row],[Year]])</f>
        <v>January,2014</v>
      </c>
      <c r="E38">
        <v>118.9</v>
      </c>
      <c r="F38">
        <v>117.1</v>
      </c>
      <c r="G38">
        <v>120.5</v>
      </c>
      <c r="H38">
        <v>114.4</v>
      </c>
      <c r="I38">
        <v>109</v>
      </c>
      <c r="J38">
        <v>115.5</v>
      </c>
      <c r="K38">
        <v>123.9</v>
      </c>
      <c r="L38">
        <v>109.6</v>
      </c>
      <c r="M38">
        <v>101.8</v>
      </c>
      <c r="N38">
        <v>110.2</v>
      </c>
      <c r="O38">
        <v>112.4</v>
      </c>
      <c r="P38">
        <v>117.3</v>
      </c>
      <c r="Q38" s="3">
        <v>116</v>
      </c>
      <c r="R38" s="7">
        <v>114</v>
      </c>
      <c r="S38">
        <v>116.5</v>
      </c>
      <c r="T38">
        <v>114.5</v>
      </c>
      <c r="U38" s="5">
        <v>116.2</v>
      </c>
      <c r="V38" s="6" t="s">
        <v>32</v>
      </c>
      <c r="W38" s="4">
        <v>113</v>
      </c>
      <c r="X38">
        <v>112.6</v>
      </c>
      <c r="Y38">
        <v>110.6</v>
      </c>
      <c r="Z38">
        <v>110.5</v>
      </c>
      <c r="AA38">
        <v>109.6</v>
      </c>
      <c r="AB38">
        <v>111.8</v>
      </c>
      <c r="AC38">
        <v>108.3</v>
      </c>
      <c r="AD38" s="7">
        <v>110.6</v>
      </c>
      <c r="AE38">
        <v>114.2</v>
      </c>
    </row>
    <row r="39" spans="1:31" x14ac:dyDescent="0.3">
      <c r="A39" t="s">
        <v>33</v>
      </c>
      <c r="B39">
        <v>2014</v>
      </c>
      <c r="C39" t="s">
        <v>31</v>
      </c>
      <c r="D39" s="10" t="str">
        <f xml:space="preserve"> _xlfn.CONCAT(Table1[[#This Row],[Month]],",",Table1[[#This Row],[Year]])</f>
        <v>January,2014</v>
      </c>
      <c r="E39">
        <v>121.2</v>
      </c>
      <c r="F39">
        <v>122</v>
      </c>
      <c r="G39">
        <v>129.9</v>
      </c>
      <c r="H39">
        <v>113.6</v>
      </c>
      <c r="I39">
        <v>102.9</v>
      </c>
      <c r="J39">
        <v>112.1</v>
      </c>
      <c r="K39">
        <v>118.9</v>
      </c>
      <c r="L39">
        <v>107.5</v>
      </c>
      <c r="M39">
        <v>96.9</v>
      </c>
      <c r="N39">
        <v>112.7</v>
      </c>
      <c r="O39">
        <v>112.1</v>
      </c>
      <c r="P39">
        <v>119</v>
      </c>
      <c r="Q39" s="3">
        <v>115.5</v>
      </c>
      <c r="R39" s="7">
        <v>115.7</v>
      </c>
      <c r="S39">
        <v>114.8</v>
      </c>
      <c r="T39">
        <v>111.3</v>
      </c>
      <c r="U39" s="5">
        <v>114.3</v>
      </c>
      <c r="V39" s="6">
        <v>111.6</v>
      </c>
      <c r="W39" s="4">
        <v>111</v>
      </c>
      <c r="X39">
        <v>111.9</v>
      </c>
      <c r="Y39">
        <v>109.7</v>
      </c>
      <c r="Z39">
        <v>110.8</v>
      </c>
      <c r="AA39">
        <v>109.8</v>
      </c>
      <c r="AB39">
        <v>111.5</v>
      </c>
      <c r="AC39">
        <v>108</v>
      </c>
      <c r="AD39" s="7">
        <v>110.5</v>
      </c>
      <c r="AE39">
        <v>112.9</v>
      </c>
    </row>
    <row r="40" spans="1:31" x14ac:dyDescent="0.3">
      <c r="A40" t="s">
        <v>34</v>
      </c>
      <c r="B40">
        <v>2014</v>
      </c>
      <c r="C40" t="s">
        <v>31</v>
      </c>
      <c r="D40" s="10" t="str">
        <f xml:space="preserve"> _xlfn.CONCAT(Table1[[#This Row],[Month]],",",Table1[[#This Row],[Year]])</f>
        <v>January,2014</v>
      </c>
      <c r="E40">
        <v>119.6</v>
      </c>
      <c r="F40">
        <v>118.8</v>
      </c>
      <c r="G40">
        <v>124.1</v>
      </c>
      <c r="H40">
        <v>114.1</v>
      </c>
      <c r="I40">
        <v>106.8</v>
      </c>
      <c r="J40">
        <v>113.9</v>
      </c>
      <c r="K40">
        <v>122.2</v>
      </c>
      <c r="L40">
        <v>108.9</v>
      </c>
      <c r="M40">
        <v>100.2</v>
      </c>
      <c r="N40">
        <v>111</v>
      </c>
      <c r="O40">
        <v>112.3</v>
      </c>
      <c r="P40">
        <v>118.1</v>
      </c>
      <c r="Q40" s="3">
        <v>115.8</v>
      </c>
      <c r="R40" s="7">
        <v>114.5</v>
      </c>
      <c r="S40">
        <v>115.8</v>
      </c>
      <c r="T40">
        <v>113.2</v>
      </c>
      <c r="U40" s="5">
        <v>115.4</v>
      </c>
      <c r="V40" s="6">
        <v>111.6</v>
      </c>
      <c r="W40" s="4">
        <v>112.2</v>
      </c>
      <c r="X40">
        <v>112.3</v>
      </c>
      <c r="Y40">
        <v>110.3</v>
      </c>
      <c r="Z40">
        <v>110.7</v>
      </c>
      <c r="AA40">
        <v>109.7</v>
      </c>
      <c r="AB40">
        <v>111.6</v>
      </c>
      <c r="AC40">
        <v>108.2</v>
      </c>
      <c r="AD40" s="7">
        <v>110.6</v>
      </c>
      <c r="AE40">
        <v>113.6</v>
      </c>
    </row>
    <row r="41" spans="1:31" x14ac:dyDescent="0.3">
      <c r="A41" t="s">
        <v>30</v>
      </c>
      <c r="B41">
        <v>2014</v>
      </c>
      <c r="C41" t="s">
        <v>35</v>
      </c>
      <c r="D41" s="10" t="str">
        <f xml:space="preserve"> _xlfn.CONCAT(Table1[[#This Row],[Month]],",",Table1[[#This Row],[Year]])</f>
        <v>February,2014</v>
      </c>
      <c r="E41">
        <v>119.4</v>
      </c>
      <c r="F41">
        <v>117.7</v>
      </c>
      <c r="G41">
        <v>121.2</v>
      </c>
      <c r="H41">
        <v>115</v>
      </c>
      <c r="I41">
        <v>109</v>
      </c>
      <c r="J41">
        <v>116.6</v>
      </c>
      <c r="K41">
        <v>116</v>
      </c>
      <c r="L41">
        <v>109.8</v>
      </c>
      <c r="M41">
        <v>101.1</v>
      </c>
      <c r="N41">
        <v>110.4</v>
      </c>
      <c r="O41">
        <v>112.9</v>
      </c>
      <c r="P41">
        <v>117.8</v>
      </c>
      <c r="Q41" s="3">
        <v>115.3</v>
      </c>
      <c r="R41" s="7">
        <v>114.2</v>
      </c>
      <c r="S41">
        <v>117.1</v>
      </c>
      <c r="T41">
        <v>114.5</v>
      </c>
      <c r="U41" s="5">
        <v>116.7</v>
      </c>
      <c r="V41" s="6" t="s">
        <v>32</v>
      </c>
      <c r="W41" s="4">
        <v>113.2</v>
      </c>
      <c r="X41">
        <v>112.9</v>
      </c>
      <c r="Y41">
        <v>110.9</v>
      </c>
      <c r="Z41">
        <v>110.8</v>
      </c>
      <c r="AA41">
        <v>109.9</v>
      </c>
      <c r="AB41">
        <v>112</v>
      </c>
      <c r="AC41">
        <v>108.7</v>
      </c>
      <c r="AD41" s="7">
        <v>110.9</v>
      </c>
      <c r="AE41">
        <v>114</v>
      </c>
    </row>
    <row r="42" spans="1:31" x14ac:dyDescent="0.3">
      <c r="A42" t="s">
        <v>33</v>
      </c>
      <c r="B42">
        <v>2014</v>
      </c>
      <c r="C42" t="s">
        <v>35</v>
      </c>
      <c r="D42" s="10" t="str">
        <f xml:space="preserve"> _xlfn.CONCAT(Table1[[#This Row],[Month]],",",Table1[[#This Row],[Year]])</f>
        <v>February,2014</v>
      </c>
      <c r="E42">
        <v>121.9</v>
      </c>
      <c r="F42">
        <v>122</v>
      </c>
      <c r="G42">
        <v>124.5</v>
      </c>
      <c r="H42">
        <v>115.2</v>
      </c>
      <c r="I42">
        <v>102.5</v>
      </c>
      <c r="J42">
        <v>114.1</v>
      </c>
      <c r="K42">
        <v>111.5</v>
      </c>
      <c r="L42">
        <v>108.2</v>
      </c>
      <c r="M42">
        <v>95.4</v>
      </c>
      <c r="N42">
        <v>113.5</v>
      </c>
      <c r="O42">
        <v>112.1</v>
      </c>
      <c r="P42">
        <v>119.9</v>
      </c>
      <c r="Q42" s="3">
        <v>115.2</v>
      </c>
      <c r="R42" s="7">
        <v>116.2</v>
      </c>
      <c r="S42">
        <v>115.3</v>
      </c>
      <c r="T42">
        <v>111.7</v>
      </c>
      <c r="U42" s="5">
        <v>114.7</v>
      </c>
      <c r="V42" s="6">
        <v>112.5</v>
      </c>
      <c r="W42" s="4">
        <v>111.1</v>
      </c>
      <c r="X42">
        <v>112.6</v>
      </c>
      <c r="Y42">
        <v>110.4</v>
      </c>
      <c r="Z42">
        <v>111.3</v>
      </c>
      <c r="AA42">
        <v>110.3</v>
      </c>
      <c r="AB42">
        <v>111.6</v>
      </c>
      <c r="AC42">
        <v>108.7</v>
      </c>
      <c r="AD42" s="7">
        <v>111</v>
      </c>
      <c r="AE42">
        <v>113.1</v>
      </c>
    </row>
    <row r="43" spans="1:31" x14ac:dyDescent="0.3">
      <c r="A43" t="s">
        <v>34</v>
      </c>
      <c r="B43">
        <v>2014</v>
      </c>
      <c r="C43" t="s">
        <v>35</v>
      </c>
      <c r="D43" s="10" t="str">
        <f xml:space="preserve"> _xlfn.CONCAT(Table1[[#This Row],[Month]],",",Table1[[#This Row],[Year]])</f>
        <v>February,2014</v>
      </c>
      <c r="E43">
        <v>120.2</v>
      </c>
      <c r="F43">
        <v>119.2</v>
      </c>
      <c r="G43">
        <v>122.5</v>
      </c>
      <c r="H43">
        <v>115.1</v>
      </c>
      <c r="I43">
        <v>106.6</v>
      </c>
      <c r="J43">
        <v>115.4</v>
      </c>
      <c r="K43">
        <v>114.5</v>
      </c>
      <c r="L43">
        <v>109.3</v>
      </c>
      <c r="M43">
        <v>99.2</v>
      </c>
      <c r="N43">
        <v>111.4</v>
      </c>
      <c r="O43">
        <v>112.6</v>
      </c>
      <c r="P43">
        <v>118.8</v>
      </c>
      <c r="Q43" s="3">
        <v>115.3</v>
      </c>
      <c r="R43" s="7">
        <v>114.7</v>
      </c>
      <c r="S43">
        <v>116.4</v>
      </c>
      <c r="T43">
        <v>113.3</v>
      </c>
      <c r="U43" s="5">
        <v>115.9</v>
      </c>
      <c r="V43" s="6">
        <v>112.5</v>
      </c>
      <c r="W43" s="4">
        <v>112.4</v>
      </c>
      <c r="X43">
        <v>112.8</v>
      </c>
      <c r="Y43">
        <v>110.7</v>
      </c>
      <c r="Z43">
        <v>111.1</v>
      </c>
      <c r="AA43">
        <v>110.1</v>
      </c>
      <c r="AB43">
        <v>111.8</v>
      </c>
      <c r="AC43">
        <v>108.7</v>
      </c>
      <c r="AD43" s="7">
        <v>110.9</v>
      </c>
      <c r="AE43">
        <v>113.6</v>
      </c>
    </row>
    <row r="44" spans="1:31" x14ac:dyDescent="0.3">
      <c r="A44" t="s">
        <v>30</v>
      </c>
      <c r="B44">
        <v>2014</v>
      </c>
      <c r="C44" t="s">
        <v>36</v>
      </c>
      <c r="D44" s="10" t="str">
        <f xml:space="preserve"> _xlfn.CONCAT(Table1[[#This Row],[Month]],",",Table1[[#This Row],[Year]])</f>
        <v>March,2014</v>
      </c>
      <c r="E44">
        <v>120.1</v>
      </c>
      <c r="F44">
        <v>118.1</v>
      </c>
      <c r="G44">
        <v>120.7</v>
      </c>
      <c r="H44">
        <v>116.1</v>
      </c>
      <c r="I44">
        <v>109.3</v>
      </c>
      <c r="J44">
        <v>119.6</v>
      </c>
      <c r="K44">
        <v>117.9</v>
      </c>
      <c r="L44">
        <v>110.2</v>
      </c>
      <c r="M44">
        <v>101.2</v>
      </c>
      <c r="N44">
        <v>110.7</v>
      </c>
      <c r="O44">
        <v>113</v>
      </c>
      <c r="P44">
        <v>118.3</v>
      </c>
      <c r="Q44" s="3">
        <v>116.2</v>
      </c>
      <c r="R44" s="7">
        <v>114.6</v>
      </c>
      <c r="S44">
        <v>117.5</v>
      </c>
      <c r="T44">
        <v>114.9</v>
      </c>
      <c r="U44" s="5">
        <v>117.2</v>
      </c>
      <c r="V44" s="6" t="s">
        <v>32</v>
      </c>
      <c r="W44" s="4">
        <v>113.4</v>
      </c>
      <c r="X44">
        <v>113.4</v>
      </c>
      <c r="Y44">
        <v>111.4</v>
      </c>
      <c r="Z44">
        <v>111.2</v>
      </c>
      <c r="AA44">
        <v>110.2</v>
      </c>
      <c r="AB44">
        <v>112.4</v>
      </c>
      <c r="AC44">
        <v>108.9</v>
      </c>
      <c r="AD44" s="7">
        <v>111.3</v>
      </c>
      <c r="AE44">
        <v>114.6</v>
      </c>
    </row>
    <row r="45" spans="1:31" x14ac:dyDescent="0.3">
      <c r="A45" t="s">
        <v>33</v>
      </c>
      <c r="B45">
        <v>2014</v>
      </c>
      <c r="C45" t="s">
        <v>36</v>
      </c>
      <c r="D45" s="10" t="str">
        <f xml:space="preserve"> _xlfn.CONCAT(Table1[[#This Row],[Month]],",",Table1[[#This Row],[Year]])</f>
        <v>March,2014</v>
      </c>
      <c r="E45">
        <v>122.1</v>
      </c>
      <c r="F45">
        <v>121.4</v>
      </c>
      <c r="G45">
        <v>121.5</v>
      </c>
      <c r="H45">
        <v>116.2</v>
      </c>
      <c r="I45">
        <v>102.8</v>
      </c>
      <c r="J45">
        <v>117.7</v>
      </c>
      <c r="K45">
        <v>113.3</v>
      </c>
      <c r="L45">
        <v>108.9</v>
      </c>
      <c r="M45">
        <v>96.3</v>
      </c>
      <c r="N45">
        <v>114.1</v>
      </c>
      <c r="O45">
        <v>112.2</v>
      </c>
      <c r="P45">
        <v>120.5</v>
      </c>
      <c r="Q45" s="3">
        <v>116</v>
      </c>
      <c r="R45" s="7">
        <v>116.7</v>
      </c>
      <c r="S45">
        <v>115.8</v>
      </c>
      <c r="T45">
        <v>112.1</v>
      </c>
      <c r="U45" s="5">
        <v>115.2</v>
      </c>
      <c r="V45" s="6">
        <v>113.2</v>
      </c>
      <c r="W45" s="4">
        <v>110.9</v>
      </c>
      <c r="X45">
        <v>113</v>
      </c>
      <c r="Y45">
        <v>110.8</v>
      </c>
      <c r="Z45">
        <v>111.6</v>
      </c>
      <c r="AA45">
        <v>110.9</v>
      </c>
      <c r="AB45">
        <v>111.8</v>
      </c>
      <c r="AC45">
        <v>109.2</v>
      </c>
      <c r="AD45" s="7">
        <v>111.4</v>
      </c>
      <c r="AE45">
        <v>113.7</v>
      </c>
    </row>
    <row r="46" spans="1:31" x14ac:dyDescent="0.3">
      <c r="A46" t="s">
        <v>34</v>
      </c>
      <c r="B46">
        <v>2014</v>
      </c>
      <c r="C46" t="s">
        <v>36</v>
      </c>
      <c r="D46" s="10" t="str">
        <f xml:space="preserve"> _xlfn.CONCAT(Table1[[#This Row],[Month]],",",Table1[[#This Row],[Year]])</f>
        <v>March,2014</v>
      </c>
      <c r="E46">
        <v>120.7</v>
      </c>
      <c r="F46">
        <v>119.3</v>
      </c>
      <c r="G46">
        <v>121</v>
      </c>
      <c r="H46">
        <v>116.1</v>
      </c>
      <c r="I46">
        <v>106.9</v>
      </c>
      <c r="J46">
        <v>118.7</v>
      </c>
      <c r="K46">
        <v>116.3</v>
      </c>
      <c r="L46">
        <v>109.8</v>
      </c>
      <c r="M46">
        <v>99.6</v>
      </c>
      <c r="N46">
        <v>111.8</v>
      </c>
      <c r="O46">
        <v>112.7</v>
      </c>
      <c r="P46">
        <v>119.3</v>
      </c>
      <c r="Q46" s="3">
        <v>116.1</v>
      </c>
      <c r="R46" s="7">
        <v>115.2</v>
      </c>
      <c r="S46">
        <v>116.8</v>
      </c>
      <c r="T46">
        <v>113.7</v>
      </c>
      <c r="U46" s="5">
        <v>116.4</v>
      </c>
      <c r="V46" s="6">
        <v>113.2</v>
      </c>
      <c r="W46" s="4">
        <v>112.5</v>
      </c>
      <c r="X46">
        <v>113.2</v>
      </c>
      <c r="Y46">
        <v>111.2</v>
      </c>
      <c r="Z46">
        <v>111.4</v>
      </c>
      <c r="AA46">
        <v>110.6</v>
      </c>
      <c r="AB46">
        <v>112</v>
      </c>
      <c r="AC46">
        <v>109</v>
      </c>
      <c r="AD46" s="7">
        <v>111.3</v>
      </c>
      <c r="AE46">
        <v>114.2</v>
      </c>
    </row>
    <row r="47" spans="1:31" x14ac:dyDescent="0.3">
      <c r="A47" t="s">
        <v>30</v>
      </c>
      <c r="B47">
        <v>2014</v>
      </c>
      <c r="C47" t="s">
        <v>37</v>
      </c>
      <c r="D47" s="10" t="str">
        <f xml:space="preserve"> _xlfn.CONCAT(Table1[[#This Row],[Month]],",",Table1[[#This Row],[Year]])</f>
        <v>April,2014</v>
      </c>
      <c r="E47">
        <v>120.2</v>
      </c>
      <c r="F47">
        <v>118.9</v>
      </c>
      <c r="G47">
        <v>118.1</v>
      </c>
      <c r="H47">
        <v>117</v>
      </c>
      <c r="I47">
        <v>109.7</v>
      </c>
      <c r="J47">
        <v>125.5</v>
      </c>
      <c r="K47">
        <v>120.5</v>
      </c>
      <c r="L47">
        <v>111</v>
      </c>
      <c r="M47">
        <v>102.6</v>
      </c>
      <c r="N47">
        <v>111.2</v>
      </c>
      <c r="O47">
        <v>113.5</v>
      </c>
      <c r="P47">
        <v>118.7</v>
      </c>
      <c r="Q47" s="3">
        <v>117.2</v>
      </c>
      <c r="R47" s="7">
        <v>115.4</v>
      </c>
      <c r="S47">
        <v>118.1</v>
      </c>
      <c r="T47">
        <v>116.1</v>
      </c>
      <c r="U47" s="5">
        <v>117.8</v>
      </c>
      <c r="V47" s="6" t="s">
        <v>32</v>
      </c>
      <c r="W47" s="4">
        <v>113.4</v>
      </c>
      <c r="X47">
        <v>113.7</v>
      </c>
      <c r="Y47">
        <v>111.8</v>
      </c>
      <c r="Z47">
        <v>111.2</v>
      </c>
      <c r="AA47">
        <v>110.5</v>
      </c>
      <c r="AB47">
        <v>113</v>
      </c>
      <c r="AC47">
        <v>108.9</v>
      </c>
      <c r="AD47" s="7">
        <v>111.5</v>
      </c>
      <c r="AE47">
        <v>115.4</v>
      </c>
    </row>
    <row r="48" spans="1:31" x14ac:dyDescent="0.3">
      <c r="A48" t="s">
        <v>33</v>
      </c>
      <c r="B48">
        <v>2014</v>
      </c>
      <c r="C48" t="s">
        <v>37</v>
      </c>
      <c r="D48" s="10" t="str">
        <f xml:space="preserve"> _xlfn.CONCAT(Table1[[#This Row],[Month]],",",Table1[[#This Row],[Year]])</f>
        <v>April,2014</v>
      </c>
      <c r="E48">
        <v>122.5</v>
      </c>
      <c r="F48">
        <v>121.7</v>
      </c>
      <c r="G48">
        <v>113.3</v>
      </c>
      <c r="H48">
        <v>117</v>
      </c>
      <c r="I48">
        <v>103.1</v>
      </c>
      <c r="J48">
        <v>126.7</v>
      </c>
      <c r="K48">
        <v>121.2</v>
      </c>
      <c r="L48">
        <v>111</v>
      </c>
      <c r="M48">
        <v>100.3</v>
      </c>
      <c r="N48">
        <v>115.3</v>
      </c>
      <c r="O48">
        <v>112.7</v>
      </c>
      <c r="P48">
        <v>121</v>
      </c>
      <c r="Q48" s="3">
        <v>118.2</v>
      </c>
      <c r="R48" s="7">
        <v>117.6</v>
      </c>
      <c r="S48">
        <v>116.3</v>
      </c>
      <c r="T48">
        <v>112.5</v>
      </c>
      <c r="U48" s="5">
        <v>115.7</v>
      </c>
      <c r="V48" s="6">
        <v>113.9</v>
      </c>
      <c r="W48" s="4">
        <v>110.9</v>
      </c>
      <c r="X48">
        <v>113.4</v>
      </c>
      <c r="Y48">
        <v>111</v>
      </c>
      <c r="Z48">
        <v>111.2</v>
      </c>
      <c r="AA48">
        <v>111.2</v>
      </c>
      <c r="AB48">
        <v>112.5</v>
      </c>
      <c r="AC48">
        <v>109.1</v>
      </c>
      <c r="AD48" s="7">
        <v>111.4</v>
      </c>
      <c r="AE48">
        <v>114.7</v>
      </c>
    </row>
    <row r="49" spans="1:31" x14ac:dyDescent="0.3">
      <c r="A49" t="s">
        <v>34</v>
      </c>
      <c r="B49">
        <v>2014</v>
      </c>
      <c r="C49" t="s">
        <v>37</v>
      </c>
      <c r="D49" s="10" t="str">
        <f xml:space="preserve"> _xlfn.CONCAT(Table1[[#This Row],[Month]],",",Table1[[#This Row],[Year]])</f>
        <v>April,2014</v>
      </c>
      <c r="E49">
        <v>120.9</v>
      </c>
      <c r="F49">
        <v>119.9</v>
      </c>
      <c r="G49">
        <v>116.2</v>
      </c>
      <c r="H49">
        <v>117</v>
      </c>
      <c r="I49">
        <v>107.3</v>
      </c>
      <c r="J49">
        <v>126.1</v>
      </c>
      <c r="K49">
        <v>120.7</v>
      </c>
      <c r="L49">
        <v>111</v>
      </c>
      <c r="M49">
        <v>101.8</v>
      </c>
      <c r="N49">
        <v>112.6</v>
      </c>
      <c r="O49">
        <v>113.2</v>
      </c>
      <c r="P49">
        <v>119.8</v>
      </c>
      <c r="Q49" s="3">
        <v>117.6</v>
      </c>
      <c r="R49" s="7">
        <v>116</v>
      </c>
      <c r="S49">
        <v>117.4</v>
      </c>
      <c r="T49">
        <v>114.6</v>
      </c>
      <c r="U49" s="5">
        <v>117</v>
      </c>
      <c r="V49" s="6">
        <v>113.9</v>
      </c>
      <c r="W49" s="4">
        <v>112.5</v>
      </c>
      <c r="X49">
        <v>113.6</v>
      </c>
      <c r="Y49">
        <v>111.5</v>
      </c>
      <c r="Z49">
        <v>111.2</v>
      </c>
      <c r="AA49">
        <v>110.9</v>
      </c>
      <c r="AB49">
        <v>112.7</v>
      </c>
      <c r="AC49">
        <v>109</v>
      </c>
      <c r="AD49" s="7">
        <v>111.5</v>
      </c>
      <c r="AE49">
        <v>115.1</v>
      </c>
    </row>
    <row r="50" spans="1:31" x14ac:dyDescent="0.3">
      <c r="A50" t="s">
        <v>30</v>
      </c>
      <c r="B50">
        <v>2014</v>
      </c>
      <c r="C50" t="s">
        <v>38</v>
      </c>
      <c r="D50" s="10" t="str">
        <f xml:space="preserve"> _xlfn.CONCAT(Table1[[#This Row],[Month]],",",Table1[[#This Row],[Year]])</f>
        <v>May,2014</v>
      </c>
      <c r="E50">
        <v>120.3</v>
      </c>
      <c r="F50">
        <v>120.2</v>
      </c>
      <c r="G50">
        <v>116.9</v>
      </c>
      <c r="H50">
        <v>118</v>
      </c>
      <c r="I50">
        <v>110.1</v>
      </c>
      <c r="J50">
        <v>126.3</v>
      </c>
      <c r="K50">
        <v>123.9</v>
      </c>
      <c r="L50">
        <v>111.5</v>
      </c>
      <c r="M50">
        <v>103.5</v>
      </c>
      <c r="N50">
        <v>111.6</v>
      </c>
      <c r="O50">
        <v>114.2</v>
      </c>
      <c r="P50">
        <v>119.2</v>
      </c>
      <c r="Q50" s="3">
        <v>118.2</v>
      </c>
      <c r="R50" s="7">
        <v>116.3</v>
      </c>
      <c r="S50">
        <v>118.7</v>
      </c>
      <c r="T50">
        <v>116.8</v>
      </c>
      <c r="U50" s="5">
        <v>118.5</v>
      </c>
      <c r="V50" s="6" t="s">
        <v>32</v>
      </c>
      <c r="W50" s="4">
        <v>113.4</v>
      </c>
      <c r="X50">
        <v>114.1</v>
      </c>
      <c r="Y50">
        <v>112.1</v>
      </c>
      <c r="Z50">
        <v>111.4</v>
      </c>
      <c r="AA50">
        <v>110.9</v>
      </c>
      <c r="AB50">
        <v>113.1</v>
      </c>
      <c r="AC50">
        <v>108.9</v>
      </c>
      <c r="AD50" s="7">
        <v>111.8</v>
      </c>
      <c r="AE50">
        <v>116</v>
      </c>
    </row>
    <row r="51" spans="1:31" x14ac:dyDescent="0.3">
      <c r="A51" t="s">
        <v>33</v>
      </c>
      <c r="B51">
        <v>2014</v>
      </c>
      <c r="C51" t="s">
        <v>38</v>
      </c>
      <c r="D51" s="10" t="str">
        <f xml:space="preserve"> _xlfn.CONCAT(Table1[[#This Row],[Month]],",",Table1[[#This Row],[Year]])</f>
        <v>May,2014</v>
      </c>
      <c r="E51">
        <v>122.7</v>
      </c>
      <c r="F51">
        <v>124.1</v>
      </c>
      <c r="G51">
        <v>114.2</v>
      </c>
      <c r="H51">
        <v>119.1</v>
      </c>
      <c r="I51">
        <v>103.5</v>
      </c>
      <c r="J51">
        <v>129.19999999999999</v>
      </c>
      <c r="K51">
        <v>127</v>
      </c>
      <c r="L51">
        <v>112.6</v>
      </c>
      <c r="M51">
        <v>101.3</v>
      </c>
      <c r="N51">
        <v>117</v>
      </c>
      <c r="O51">
        <v>112.9</v>
      </c>
      <c r="P51">
        <v>121.7</v>
      </c>
      <c r="Q51" s="3">
        <v>120</v>
      </c>
      <c r="R51" s="7">
        <v>118.3</v>
      </c>
      <c r="S51">
        <v>116.8</v>
      </c>
      <c r="T51">
        <v>112.9</v>
      </c>
      <c r="U51" s="5">
        <v>116.2</v>
      </c>
      <c r="V51" s="6">
        <v>114.3</v>
      </c>
      <c r="W51" s="4">
        <v>111.1</v>
      </c>
      <c r="X51">
        <v>114.1</v>
      </c>
      <c r="Y51">
        <v>111.2</v>
      </c>
      <c r="Z51">
        <v>111.3</v>
      </c>
      <c r="AA51">
        <v>111.5</v>
      </c>
      <c r="AB51">
        <v>112.9</v>
      </c>
      <c r="AC51">
        <v>109.3</v>
      </c>
      <c r="AD51" s="7">
        <v>111.7</v>
      </c>
      <c r="AE51">
        <v>115.6</v>
      </c>
    </row>
    <row r="52" spans="1:31" x14ac:dyDescent="0.3">
      <c r="A52" t="s">
        <v>34</v>
      </c>
      <c r="B52">
        <v>2014</v>
      </c>
      <c r="C52" t="s">
        <v>38</v>
      </c>
      <c r="D52" s="10" t="str">
        <f xml:space="preserve"> _xlfn.CONCAT(Table1[[#This Row],[Month]],",",Table1[[#This Row],[Year]])</f>
        <v>May,2014</v>
      </c>
      <c r="E52">
        <v>121.1</v>
      </c>
      <c r="F52">
        <v>121.6</v>
      </c>
      <c r="G52">
        <v>115.9</v>
      </c>
      <c r="H52">
        <v>118.4</v>
      </c>
      <c r="I52">
        <v>107.7</v>
      </c>
      <c r="J52">
        <v>127.7</v>
      </c>
      <c r="K52">
        <v>125</v>
      </c>
      <c r="L52">
        <v>111.9</v>
      </c>
      <c r="M52">
        <v>102.8</v>
      </c>
      <c r="N52">
        <v>113.4</v>
      </c>
      <c r="O52">
        <v>113.7</v>
      </c>
      <c r="P52">
        <v>120.4</v>
      </c>
      <c r="Q52" s="3">
        <v>118.9</v>
      </c>
      <c r="R52" s="7">
        <v>116.8</v>
      </c>
      <c r="S52">
        <v>118</v>
      </c>
      <c r="T52">
        <v>115.2</v>
      </c>
      <c r="U52" s="5">
        <v>117.6</v>
      </c>
      <c r="V52" s="6">
        <v>114.3</v>
      </c>
      <c r="W52" s="4">
        <v>112.5</v>
      </c>
      <c r="X52">
        <v>114.1</v>
      </c>
      <c r="Y52">
        <v>111.8</v>
      </c>
      <c r="Z52">
        <v>111.3</v>
      </c>
      <c r="AA52">
        <v>111.2</v>
      </c>
      <c r="AB52">
        <v>113</v>
      </c>
      <c r="AC52">
        <v>109.1</v>
      </c>
      <c r="AD52" s="7">
        <v>111.8</v>
      </c>
      <c r="AE52">
        <v>115.8</v>
      </c>
    </row>
    <row r="53" spans="1:31" x14ac:dyDescent="0.3">
      <c r="A53" t="s">
        <v>30</v>
      </c>
      <c r="B53">
        <v>2014</v>
      </c>
      <c r="C53" t="s">
        <v>39</v>
      </c>
      <c r="D53" s="10" t="str">
        <f xml:space="preserve"> _xlfn.CONCAT(Table1[[#This Row],[Month]],",",Table1[[#This Row],[Year]])</f>
        <v>June,2014</v>
      </c>
      <c r="E53">
        <v>120.7</v>
      </c>
      <c r="F53">
        <v>121.6</v>
      </c>
      <c r="G53">
        <v>116.1</v>
      </c>
      <c r="H53">
        <v>119.3</v>
      </c>
      <c r="I53">
        <v>110.3</v>
      </c>
      <c r="J53">
        <v>125.8</v>
      </c>
      <c r="K53">
        <v>129.30000000000001</v>
      </c>
      <c r="L53">
        <v>112.2</v>
      </c>
      <c r="M53">
        <v>103.6</v>
      </c>
      <c r="N53">
        <v>112.3</v>
      </c>
      <c r="O53">
        <v>114.9</v>
      </c>
      <c r="P53">
        <v>120.1</v>
      </c>
      <c r="Q53" s="3">
        <v>119.5</v>
      </c>
      <c r="R53" s="7">
        <v>117.3</v>
      </c>
      <c r="S53">
        <v>119.7</v>
      </c>
      <c r="T53">
        <v>117.3</v>
      </c>
      <c r="U53" s="5">
        <v>119.3</v>
      </c>
      <c r="V53" s="6" t="s">
        <v>32</v>
      </c>
      <c r="W53" s="4">
        <v>114.4</v>
      </c>
      <c r="X53">
        <v>114.9</v>
      </c>
      <c r="Y53">
        <v>112.8</v>
      </c>
      <c r="Z53">
        <v>112.2</v>
      </c>
      <c r="AA53">
        <v>111.4</v>
      </c>
      <c r="AB53">
        <v>114.3</v>
      </c>
      <c r="AC53">
        <v>108</v>
      </c>
      <c r="AD53" s="7">
        <v>112.3</v>
      </c>
      <c r="AE53">
        <v>117</v>
      </c>
    </row>
    <row r="54" spans="1:31" x14ac:dyDescent="0.3">
      <c r="A54" t="s">
        <v>33</v>
      </c>
      <c r="B54">
        <v>2014</v>
      </c>
      <c r="C54" t="s">
        <v>39</v>
      </c>
      <c r="D54" s="10" t="str">
        <f xml:space="preserve"> _xlfn.CONCAT(Table1[[#This Row],[Month]],",",Table1[[#This Row],[Year]])</f>
        <v>June,2014</v>
      </c>
      <c r="E54">
        <v>123.1</v>
      </c>
      <c r="F54">
        <v>125.9</v>
      </c>
      <c r="G54">
        <v>115.4</v>
      </c>
      <c r="H54">
        <v>120.4</v>
      </c>
      <c r="I54">
        <v>103.4</v>
      </c>
      <c r="J54">
        <v>131.19999999999999</v>
      </c>
      <c r="K54">
        <v>137.5</v>
      </c>
      <c r="L54">
        <v>112.8</v>
      </c>
      <c r="M54">
        <v>101.4</v>
      </c>
      <c r="N54">
        <v>118.3</v>
      </c>
      <c r="O54">
        <v>113.2</v>
      </c>
      <c r="P54">
        <v>122.4</v>
      </c>
      <c r="Q54" s="3">
        <v>122</v>
      </c>
      <c r="R54" s="7">
        <v>119</v>
      </c>
      <c r="S54">
        <v>117.4</v>
      </c>
      <c r="T54">
        <v>113.2</v>
      </c>
      <c r="U54" s="5">
        <v>116.7</v>
      </c>
      <c r="V54" s="6">
        <v>113.9</v>
      </c>
      <c r="W54" s="4">
        <v>111.2</v>
      </c>
      <c r="X54">
        <v>114.3</v>
      </c>
      <c r="Y54">
        <v>111.4</v>
      </c>
      <c r="Z54">
        <v>111.5</v>
      </c>
      <c r="AA54">
        <v>111.8</v>
      </c>
      <c r="AB54">
        <v>115.1</v>
      </c>
      <c r="AC54">
        <v>108.7</v>
      </c>
      <c r="AD54" s="7">
        <v>112.2</v>
      </c>
      <c r="AE54">
        <v>116.4</v>
      </c>
    </row>
    <row r="55" spans="1:31" x14ac:dyDescent="0.3">
      <c r="A55" t="s">
        <v>34</v>
      </c>
      <c r="B55">
        <v>2014</v>
      </c>
      <c r="C55" t="s">
        <v>39</v>
      </c>
      <c r="D55" s="10" t="str">
        <f xml:space="preserve"> _xlfn.CONCAT(Table1[[#This Row],[Month]],",",Table1[[#This Row],[Year]])</f>
        <v>June,2014</v>
      </c>
      <c r="E55">
        <v>121.5</v>
      </c>
      <c r="F55">
        <v>123.1</v>
      </c>
      <c r="G55">
        <v>115.8</v>
      </c>
      <c r="H55">
        <v>119.7</v>
      </c>
      <c r="I55">
        <v>107.8</v>
      </c>
      <c r="J55">
        <v>128.30000000000001</v>
      </c>
      <c r="K55">
        <v>132.1</v>
      </c>
      <c r="L55">
        <v>112.4</v>
      </c>
      <c r="M55">
        <v>102.9</v>
      </c>
      <c r="N55">
        <v>114.3</v>
      </c>
      <c r="O55">
        <v>114.2</v>
      </c>
      <c r="P55">
        <v>121.2</v>
      </c>
      <c r="Q55" s="3">
        <v>120.4</v>
      </c>
      <c r="R55" s="7">
        <v>117.8</v>
      </c>
      <c r="S55">
        <v>118.8</v>
      </c>
      <c r="T55">
        <v>115.6</v>
      </c>
      <c r="U55" s="5">
        <v>118.3</v>
      </c>
      <c r="V55" s="6">
        <v>113.9</v>
      </c>
      <c r="W55" s="4">
        <v>113.2</v>
      </c>
      <c r="X55">
        <v>114.6</v>
      </c>
      <c r="Y55">
        <v>112.3</v>
      </c>
      <c r="Z55">
        <v>111.8</v>
      </c>
      <c r="AA55">
        <v>111.6</v>
      </c>
      <c r="AB55">
        <v>114.8</v>
      </c>
      <c r="AC55">
        <v>108.3</v>
      </c>
      <c r="AD55" s="7">
        <v>112.3</v>
      </c>
      <c r="AE55">
        <v>116.7</v>
      </c>
    </row>
    <row r="56" spans="1:31" x14ac:dyDescent="0.3">
      <c r="A56" t="s">
        <v>30</v>
      </c>
      <c r="B56">
        <v>2014</v>
      </c>
      <c r="C56" t="s">
        <v>40</v>
      </c>
      <c r="D56" s="10" t="str">
        <f xml:space="preserve"> _xlfn.CONCAT(Table1[[#This Row],[Month]],",",Table1[[#This Row],[Year]])</f>
        <v>July,2014</v>
      </c>
      <c r="E56">
        <v>121.7</v>
      </c>
      <c r="F56">
        <v>122.5</v>
      </c>
      <c r="G56">
        <v>117.7</v>
      </c>
      <c r="H56">
        <v>120.6</v>
      </c>
      <c r="I56">
        <v>110.4</v>
      </c>
      <c r="J56">
        <v>129.1</v>
      </c>
      <c r="K56">
        <v>150.1</v>
      </c>
      <c r="L56">
        <v>113.2</v>
      </c>
      <c r="M56">
        <v>104.8</v>
      </c>
      <c r="N56">
        <v>113.3</v>
      </c>
      <c r="O56">
        <v>115.6</v>
      </c>
      <c r="P56">
        <v>120.9</v>
      </c>
      <c r="Q56" s="3">
        <v>123.3</v>
      </c>
      <c r="R56" s="7">
        <v>118</v>
      </c>
      <c r="S56">
        <v>120.7</v>
      </c>
      <c r="T56">
        <v>118.3</v>
      </c>
      <c r="U56" s="5">
        <v>120.3</v>
      </c>
      <c r="V56" s="6" t="s">
        <v>32</v>
      </c>
      <c r="W56" s="4">
        <v>115.3</v>
      </c>
      <c r="X56">
        <v>115.4</v>
      </c>
      <c r="Y56">
        <v>113.4</v>
      </c>
      <c r="Z56">
        <v>113.2</v>
      </c>
      <c r="AA56">
        <v>111.8</v>
      </c>
      <c r="AB56">
        <v>115.5</v>
      </c>
      <c r="AC56">
        <v>108.8</v>
      </c>
      <c r="AD56" s="7">
        <v>113.1</v>
      </c>
      <c r="AE56">
        <v>119.5</v>
      </c>
    </row>
    <row r="57" spans="1:31" x14ac:dyDescent="0.3">
      <c r="A57" t="s">
        <v>33</v>
      </c>
      <c r="B57">
        <v>2014</v>
      </c>
      <c r="C57" t="s">
        <v>40</v>
      </c>
      <c r="D57" s="10" t="str">
        <f xml:space="preserve"> _xlfn.CONCAT(Table1[[#This Row],[Month]],",",Table1[[#This Row],[Year]])</f>
        <v>July,2014</v>
      </c>
      <c r="E57">
        <v>123.8</v>
      </c>
      <c r="F57">
        <v>126.4</v>
      </c>
      <c r="G57">
        <v>118</v>
      </c>
      <c r="H57">
        <v>121.6</v>
      </c>
      <c r="I57">
        <v>103.5</v>
      </c>
      <c r="J57">
        <v>133.69999999999999</v>
      </c>
      <c r="K57">
        <v>172.4</v>
      </c>
      <c r="L57">
        <v>113.1</v>
      </c>
      <c r="M57">
        <v>102.7</v>
      </c>
      <c r="N57">
        <v>120</v>
      </c>
      <c r="O57">
        <v>113.8</v>
      </c>
      <c r="P57">
        <v>123.4</v>
      </c>
      <c r="Q57" s="3">
        <v>127.1</v>
      </c>
      <c r="R57" s="7">
        <v>121</v>
      </c>
      <c r="S57">
        <v>118</v>
      </c>
      <c r="T57">
        <v>113.6</v>
      </c>
      <c r="U57" s="5">
        <v>117.4</v>
      </c>
      <c r="V57" s="6">
        <v>114.8</v>
      </c>
      <c r="W57" s="4">
        <v>111.6</v>
      </c>
      <c r="X57">
        <v>114.9</v>
      </c>
      <c r="Y57">
        <v>111.5</v>
      </c>
      <c r="Z57">
        <v>113</v>
      </c>
      <c r="AA57">
        <v>112.4</v>
      </c>
      <c r="AB57">
        <v>117.8</v>
      </c>
      <c r="AC57">
        <v>109.7</v>
      </c>
      <c r="AD57" s="7">
        <v>113.5</v>
      </c>
      <c r="AE57">
        <v>118.9</v>
      </c>
    </row>
    <row r="58" spans="1:31" x14ac:dyDescent="0.3">
      <c r="A58" t="s">
        <v>34</v>
      </c>
      <c r="B58">
        <v>2014</v>
      </c>
      <c r="C58" t="s">
        <v>40</v>
      </c>
      <c r="D58" s="10" t="str">
        <f xml:space="preserve"> _xlfn.CONCAT(Table1[[#This Row],[Month]],",",Table1[[#This Row],[Year]])</f>
        <v>July,2014</v>
      </c>
      <c r="E58">
        <v>122.4</v>
      </c>
      <c r="F58">
        <v>123.9</v>
      </c>
      <c r="G58">
        <v>117.8</v>
      </c>
      <c r="H58">
        <v>121</v>
      </c>
      <c r="I58">
        <v>107.9</v>
      </c>
      <c r="J58">
        <v>131.19999999999999</v>
      </c>
      <c r="K58">
        <v>157.69999999999999</v>
      </c>
      <c r="L58">
        <v>113.2</v>
      </c>
      <c r="M58">
        <v>104.1</v>
      </c>
      <c r="N58">
        <v>115.5</v>
      </c>
      <c r="O58">
        <v>114.8</v>
      </c>
      <c r="P58">
        <v>122.1</v>
      </c>
      <c r="Q58" s="3">
        <v>124.7</v>
      </c>
      <c r="R58" s="7">
        <v>118.8</v>
      </c>
      <c r="S58">
        <v>119.6</v>
      </c>
      <c r="T58">
        <v>116.3</v>
      </c>
      <c r="U58" s="5">
        <v>119.1</v>
      </c>
      <c r="V58" s="6">
        <v>114.8</v>
      </c>
      <c r="W58" s="4">
        <v>113.9</v>
      </c>
      <c r="X58">
        <v>115.2</v>
      </c>
      <c r="Y58">
        <v>112.7</v>
      </c>
      <c r="Z58">
        <v>113.1</v>
      </c>
      <c r="AA58">
        <v>112.1</v>
      </c>
      <c r="AB58">
        <v>116.8</v>
      </c>
      <c r="AC58">
        <v>109.2</v>
      </c>
      <c r="AD58" s="7">
        <v>113.3</v>
      </c>
      <c r="AE58">
        <v>119.2</v>
      </c>
    </row>
    <row r="59" spans="1:31" x14ac:dyDescent="0.3">
      <c r="A59" t="s">
        <v>30</v>
      </c>
      <c r="B59">
        <v>2014</v>
      </c>
      <c r="C59" t="s">
        <v>41</v>
      </c>
      <c r="D59" s="10" t="str">
        <f xml:space="preserve"> _xlfn.CONCAT(Table1[[#This Row],[Month]],",",Table1[[#This Row],[Year]])</f>
        <v>August,2014</v>
      </c>
      <c r="E59">
        <v>121.8</v>
      </c>
      <c r="F59">
        <v>122.8</v>
      </c>
      <c r="G59">
        <v>117.8</v>
      </c>
      <c r="H59">
        <v>121.9</v>
      </c>
      <c r="I59">
        <v>110.6</v>
      </c>
      <c r="J59">
        <v>129.69999999999999</v>
      </c>
      <c r="K59">
        <v>161.1</v>
      </c>
      <c r="L59">
        <v>114.1</v>
      </c>
      <c r="M59">
        <v>105.1</v>
      </c>
      <c r="N59">
        <v>114.6</v>
      </c>
      <c r="O59">
        <v>115.8</v>
      </c>
      <c r="P59">
        <v>121.7</v>
      </c>
      <c r="Q59" s="3">
        <v>125.3</v>
      </c>
      <c r="R59" s="7">
        <v>118.8</v>
      </c>
      <c r="S59">
        <v>120.9</v>
      </c>
      <c r="T59">
        <v>118.8</v>
      </c>
      <c r="U59" s="5">
        <v>120.7</v>
      </c>
      <c r="V59" s="6" t="s">
        <v>32</v>
      </c>
      <c r="W59" s="4">
        <v>115.4</v>
      </c>
      <c r="X59">
        <v>115.9</v>
      </c>
      <c r="Y59">
        <v>114</v>
      </c>
      <c r="Z59">
        <v>113.2</v>
      </c>
      <c r="AA59">
        <v>112.2</v>
      </c>
      <c r="AB59">
        <v>116.2</v>
      </c>
      <c r="AC59">
        <v>109.4</v>
      </c>
      <c r="AD59" s="7">
        <v>113.5</v>
      </c>
      <c r="AE59">
        <v>120.7</v>
      </c>
    </row>
    <row r="60" spans="1:31" x14ac:dyDescent="0.3">
      <c r="A60" t="s">
        <v>33</v>
      </c>
      <c r="B60">
        <v>2014</v>
      </c>
      <c r="C60" t="s">
        <v>41</v>
      </c>
      <c r="D60" s="10" t="str">
        <f xml:space="preserve"> _xlfn.CONCAT(Table1[[#This Row],[Month]],",",Table1[[#This Row],[Year]])</f>
        <v>August,2014</v>
      </c>
      <c r="E60">
        <v>124.8</v>
      </c>
      <c r="F60">
        <v>127.3</v>
      </c>
      <c r="G60">
        <v>116.5</v>
      </c>
      <c r="H60">
        <v>122.2</v>
      </c>
      <c r="I60">
        <v>103.6</v>
      </c>
      <c r="J60">
        <v>132.69999999999999</v>
      </c>
      <c r="K60">
        <v>181.9</v>
      </c>
      <c r="L60">
        <v>115.2</v>
      </c>
      <c r="M60">
        <v>102.7</v>
      </c>
      <c r="N60">
        <v>122.1</v>
      </c>
      <c r="O60">
        <v>114.4</v>
      </c>
      <c r="P60">
        <v>124.7</v>
      </c>
      <c r="Q60" s="3">
        <v>128.9</v>
      </c>
      <c r="R60" s="7">
        <v>123</v>
      </c>
      <c r="S60">
        <v>118.6</v>
      </c>
      <c r="T60">
        <v>114.1</v>
      </c>
      <c r="U60" s="5">
        <v>117.9</v>
      </c>
      <c r="V60" s="6">
        <v>115.5</v>
      </c>
      <c r="W60" s="4">
        <v>111.8</v>
      </c>
      <c r="X60">
        <v>115.3</v>
      </c>
      <c r="Y60">
        <v>112.2</v>
      </c>
      <c r="Z60">
        <v>112.5</v>
      </c>
      <c r="AA60">
        <v>112.9</v>
      </c>
      <c r="AB60">
        <v>119.2</v>
      </c>
      <c r="AC60">
        <v>110.5</v>
      </c>
      <c r="AD60" s="7">
        <v>113.9</v>
      </c>
      <c r="AE60">
        <v>119.9</v>
      </c>
    </row>
    <row r="61" spans="1:31" x14ac:dyDescent="0.3">
      <c r="A61" t="s">
        <v>34</v>
      </c>
      <c r="B61">
        <v>2014</v>
      </c>
      <c r="C61" t="s">
        <v>41</v>
      </c>
      <c r="D61" s="10" t="str">
        <f xml:space="preserve"> _xlfn.CONCAT(Table1[[#This Row],[Month]],",",Table1[[#This Row],[Year]])</f>
        <v>August,2014</v>
      </c>
      <c r="E61">
        <v>122.7</v>
      </c>
      <c r="F61">
        <v>124.4</v>
      </c>
      <c r="G61">
        <v>117.3</v>
      </c>
      <c r="H61">
        <v>122</v>
      </c>
      <c r="I61">
        <v>108</v>
      </c>
      <c r="J61">
        <v>131.1</v>
      </c>
      <c r="K61">
        <v>168.2</v>
      </c>
      <c r="L61">
        <v>114.5</v>
      </c>
      <c r="M61">
        <v>104.3</v>
      </c>
      <c r="N61">
        <v>117.1</v>
      </c>
      <c r="O61">
        <v>115.2</v>
      </c>
      <c r="P61">
        <v>123.1</v>
      </c>
      <c r="Q61" s="3">
        <v>126.6</v>
      </c>
      <c r="R61" s="7">
        <v>119.9</v>
      </c>
      <c r="S61">
        <v>120</v>
      </c>
      <c r="T61">
        <v>116.8</v>
      </c>
      <c r="U61" s="5">
        <v>119.6</v>
      </c>
      <c r="V61" s="6">
        <v>115.5</v>
      </c>
      <c r="W61" s="4">
        <v>114</v>
      </c>
      <c r="X61">
        <v>115.6</v>
      </c>
      <c r="Y61">
        <v>113.3</v>
      </c>
      <c r="Z61">
        <v>112.8</v>
      </c>
      <c r="AA61">
        <v>112.6</v>
      </c>
      <c r="AB61">
        <v>118</v>
      </c>
      <c r="AC61">
        <v>109.9</v>
      </c>
      <c r="AD61" s="7">
        <v>113.7</v>
      </c>
      <c r="AE61">
        <v>120.3</v>
      </c>
    </row>
    <row r="62" spans="1:31" x14ac:dyDescent="0.3">
      <c r="A62" t="s">
        <v>30</v>
      </c>
      <c r="B62">
        <v>2014</v>
      </c>
      <c r="C62" t="s">
        <v>42</v>
      </c>
      <c r="D62" s="10" t="str">
        <f xml:space="preserve"> _xlfn.CONCAT(Table1[[#This Row],[Month]],",",Table1[[#This Row],[Year]])</f>
        <v>September,2014</v>
      </c>
      <c r="E62">
        <v>122.3</v>
      </c>
      <c r="F62">
        <v>122.4</v>
      </c>
      <c r="G62">
        <v>117.8</v>
      </c>
      <c r="H62">
        <v>122.7</v>
      </c>
      <c r="I62">
        <v>110.4</v>
      </c>
      <c r="J62">
        <v>129.80000000000001</v>
      </c>
      <c r="K62">
        <v>158.80000000000001</v>
      </c>
      <c r="L62">
        <v>115</v>
      </c>
      <c r="M62">
        <v>104.7</v>
      </c>
      <c r="N62">
        <v>114.9</v>
      </c>
      <c r="O62">
        <v>116.5</v>
      </c>
      <c r="P62">
        <v>122.6</v>
      </c>
      <c r="Q62" s="3">
        <v>125.3</v>
      </c>
      <c r="R62" s="7">
        <v>119.5</v>
      </c>
      <c r="S62">
        <v>121.7</v>
      </c>
      <c r="T62">
        <v>119.2</v>
      </c>
      <c r="U62" s="5">
        <v>121.3</v>
      </c>
      <c r="V62" s="6" t="s">
        <v>32</v>
      </c>
      <c r="W62" s="4">
        <v>115.8</v>
      </c>
      <c r="X62">
        <v>116.7</v>
      </c>
      <c r="Y62">
        <v>114.5</v>
      </c>
      <c r="Z62">
        <v>112.8</v>
      </c>
      <c r="AA62">
        <v>112.6</v>
      </c>
      <c r="AB62">
        <v>116.6</v>
      </c>
      <c r="AC62">
        <v>109.1</v>
      </c>
      <c r="AD62" s="7">
        <v>113.7</v>
      </c>
      <c r="AE62">
        <v>120.9</v>
      </c>
    </row>
    <row r="63" spans="1:31" x14ac:dyDescent="0.3">
      <c r="A63" t="s">
        <v>33</v>
      </c>
      <c r="B63">
        <v>2014</v>
      </c>
      <c r="C63" t="s">
        <v>42</v>
      </c>
      <c r="D63" s="10" t="str">
        <f xml:space="preserve"> _xlfn.CONCAT(Table1[[#This Row],[Month]],",",Table1[[#This Row],[Year]])</f>
        <v>September,2014</v>
      </c>
      <c r="E63">
        <v>124.2</v>
      </c>
      <c r="F63">
        <v>125.4</v>
      </c>
      <c r="G63">
        <v>116.4</v>
      </c>
      <c r="H63">
        <v>122.7</v>
      </c>
      <c r="I63">
        <v>103.5</v>
      </c>
      <c r="J63">
        <v>124.5</v>
      </c>
      <c r="K63">
        <v>168.6</v>
      </c>
      <c r="L63">
        <v>116.9</v>
      </c>
      <c r="M63">
        <v>101.9</v>
      </c>
      <c r="N63">
        <v>122.9</v>
      </c>
      <c r="O63">
        <v>114.8</v>
      </c>
      <c r="P63">
        <v>125.2</v>
      </c>
      <c r="Q63" s="3">
        <v>126.7</v>
      </c>
      <c r="R63" s="7">
        <v>124.3</v>
      </c>
      <c r="S63">
        <v>119.2</v>
      </c>
      <c r="T63">
        <v>114.5</v>
      </c>
      <c r="U63" s="5">
        <v>118.4</v>
      </c>
      <c r="V63" s="6">
        <v>116.1</v>
      </c>
      <c r="W63" s="4">
        <v>111.8</v>
      </c>
      <c r="X63">
        <v>115.5</v>
      </c>
      <c r="Y63">
        <v>112.3</v>
      </c>
      <c r="Z63">
        <v>111.2</v>
      </c>
      <c r="AA63">
        <v>113.4</v>
      </c>
      <c r="AB63">
        <v>120</v>
      </c>
      <c r="AC63">
        <v>110</v>
      </c>
      <c r="AD63" s="7">
        <v>113.6</v>
      </c>
      <c r="AE63">
        <v>119.2</v>
      </c>
    </row>
    <row r="64" spans="1:31" x14ac:dyDescent="0.3">
      <c r="A64" t="s">
        <v>34</v>
      </c>
      <c r="B64">
        <v>2014</v>
      </c>
      <c r="C64" t="s">
        <v>42</v>
      </c>
      <c r="D64" s="10" t="str">
        <f xml:space="preserve"> _xlfn.CONCAT(Table1[[#This Row],[Month]],",",Table1[[#This Row],[Year]])</f>
        <v>September,2014</v>
      </c>
      <c r="E64">
        <v>122.9</v>
      </c>
      <c r="F64">
        <v>123.5</v>
      </c>
      <c r="G64">
        <v>117.3</v>
      </c>
      <c r="H64">
        <v>122.7</v>
      </c>
      <c r="I64">
        <v>107.9</v>
      </c>
      <c r="J64">
        <v>127.3</v>
      </c>
      <c r="K64">
        <v>162.1</v>
      </c>
      <c r="L64">
        <v>115.6</v>
      </c>
      <c r="M64">
        <v>103.8</v>
      </c>
      <c r="N64">
        <v>117.6</v>
      </c>
      <c r="O64">
        <v>115.8</v>
      </c>
      <c r="P64">
        <v>123.8</v>
      </c>
      <c r="Q64" s="3">
        <v>125.8</v>
      </c>
      <c r="R64" s="7">
        <v>120.8</v>
      </c>
      <c r="S64">
        <v>120.7</v>
      </c>
      <c r="T64">
        <v>117.2</v>
      </c>
      <c r="U64" s="5">
        <v>120.1</v>
      </c>
      <c r="V64" s="6">
        <v>116.1</v>
      </c>
      <c r="W64" s="4">
        <v>114.3</v>
      </c>
      <c r="X64">
        <v>116.1</v>
      </c>
      <c r="Y64">
        <v>113.7</v>
      </c>
      <c r="Z64">
        <v>112</v>
      </c>
      <c r="AA64">
        <v>113.1</v>
      </c>
      <c r="AB64">
        <v>118.6</v>
      </c>
      <c r="AC64">
        <v>109.5</v>
      </c>
      <c r="AD64" s="7">
        <v>113.7</v>
      </c>
      <c r="AE64">
        <v>120.1</v>
      </c>
    </row>
    <row r="65" spans="1:31" x14ac:dyDescent="0.3">
      <c r="A65" t="s">
        <v>30</v>
      </c>
      <c r="B65">
        <v>2014</v>
      </c>
      <c r="C65" t="s">
        <v>43</v>
      </c>
      <c r="D65" s="10" t="str">
        <f xml:space="preserve"> _xlfn.CONCAT(Table1[[#This Row],[Month]],",",Table1[[#This Row],[Year]])</f>
        <v>October,2014</v>
      </c>
      <c r="E65">
        <v>122.6</v>
      </c>
      <c r="F65">
        <v>122.5</v>
      </c>
      <c r="G65">
        <v>118.3</v>
      </c>
      <c r="H65">
        <v>123.2</v>
      </c>
      <c r="I65">
        <v>110.5</v>
      </c>
      <c r="J65">
        <v>128.9</v>
      </c>
      <c r="K65">
        <v>155.30000000000001</v>
      </c>
      <c r="L65">
        <v>115.5</v>
      </c>
      <c r="M65">
        <v>104</v>
      </c>
      <c r="N65">
        <v>115.3</v>
      </c>
      <c r="O65">
        <v>116.8</v>
      </c>
      <c r="P65">
        <v>123.2</v>
      </c>
      <c r="Q65" s="3">
        <v>125.1</v>
      </c>
      <c r="R65" s="7">
        <v>120</v>
      </c>
      <c r="S65">
        <v>122.7</v>
      </c>
      <c r="T65">
        <v>120.3</v>
      </c>
      <c r="U65" s="5">
        <v>122.3</v>
      </c>
      <c r="V65" s="6" t="s">
        <v>32</v>
      </c>
      <c r="W65" s="4">
        <v>116.4</v>
      </c>
      <c r="X65">
        <v>117.5</v>
      </c>
      <c r="Y65">
        <v>115.3</v>
      </c>
      <c r="Z65">
        <v>112.6</v>
      </c>
      <c r="AA65">
        <v>113</v>
      </c>
      <c r="AB65">
        <v>116.9</v>
      </c>
      <c r="AC65">
        <v>109.3</v>
      </c>
      <c r="AD65" s="7">
        <v>114</v>
      </c>
      <c r="AE65">
        <v>121</v>
      </c>
    </row>
    <row r="66" spans="1:31" x14ac:dyDescent="0.3">
      <c r="A66" t="s">
        <v>33</v>
      </c>
      <c r="B66">
        <v>2014</v>
      </c>
      <c r="C66" t="s">
        <v>43</v>
      </c>
      <c r="D66" s="10" t="str">
        <f xml:space="preserve"> _xlfn.CONCAT(Table1[[#This Row],[Month]],",",Table1[[#This Row],[Year]])</f>
        <v>October,2014</v>
      </c>
      <c r="E66">
        <v>124.6</v>
      </c>
      <c r="F66">
        <v>126.1</v>
      </c>
      <c r="G66">
        <v>117.8</v>
      </c>
      <c r="H66">
        <v>123.1</v>
      </c>
      <c r="I66">
        <v>103.5</v>
      </c>
      <c r="J66">
        <v>123.5</v>
      </c>
      <c r="K66">
        <v>159.6</v>
      </c>
      <c r="L66">
        <v>117.4</v>
      </c>
      <c r="M66">
        <v>101.2</v>
      </c>
      <c r="N66">
        <v>123.8</v>
      </c>
      <c r="O66">
        <v>115.2</v>
      </c>
      <c r="P66">
        <v>125.9</v>
      </c>
      <c r="Q66" s="3">
        <v>125.8</v>
      </c>
      <c r="R66" s="7">
        <v>124.3</v>
      </c>
      <c r="S66">
        <v>119.6</v>
      </c>
      <c r="T66">
        <v>114.9</v>
      </c>
      <c r="U66" s="5">
        <v>118.9</v>
      </c>
      <c r="V66" s="6">
        <v>116.7</v>
      </c>
      <c r="W66" s="4">
        <v>112</v>
      </c>
      <c r="X66">
        <v>115.8</v>
      </c>
      <c r="Y66">
        <v>112.6</v>
      </c>
      <c r="Z66">
        <v>111</v>
      </c>
      <c r="AA66">
        <v>113.6</v>
      </c>
      <c r="AB66">
        <v>120.2</v>
      </c>
      <c r="AC66">
        <v>110.1</v>
      </c>
      <c r="AD66" s="7">
        <v>113.7</v>
      </c>
      <c r="AE66">
        <v>119.1</v>
      </c>
    </row>
    <row r="67" spans="1:31" x14ac:dyDescent="0.3">
      <c r="A67" t="s">
        <v>34</v>
      </c>
      <c r="B67">
        <v>2014</v>
      </c>
      <c r="C67" t="s">
        <v>43</v>
      </c>
      <c r="D67" s="10" t="str">
        <f xml:space="preserve"> _xlfn.CONCAT(Table1[[#This Row],[Month]],",",Table1[[#This Row],[Year]])</f>
        <v>October,2014</v>
      </c>
      <c r="E67">
        <v>123.2</v>
      </c>
      <c r="F67">
        <v>123.8</v>
      </c>
      <c r="G67">
        <v>118.1</v>
      </c>
      <c r="H67">
        <v>123.2</v>
      </c>
      <c r="I67">
        <v>107.9</v>
      </c>
      <c r="J67">
        <v>126.4</v>
      </c>
      <c r="K67">
        <v>156.80000000000001</v>
      </c>
      <c r="L67">
        <v>116.1</v>
      </c>
      <c r="M67">
        <v>103.1</v>
      </c>
      <c r="N67">
        <v>118.1</v>
      </c>
      <c r="O67">
        <v>116.1</v>
      </c>
      <c r="P67">
        <v>124.5</v>
      </c>
      <c r="Q67" s="3">
        <v>125.4</v>
      </c>
      <c r="R67" s="7">
        <v>121.1</v>
      </c>
      <c r="S67">
        <v>121.5</v>
      </c>
      <c r="T67">
        <v>118.1</v>
      </c>
      <c r="U67" s="5">
        <v>121</v>
      </c>
      <c r="V67" s="6">
        <v>116.7</v>
      </c>
      <c r="W67" s="4">
        <v>114.7</v>
      </c>
      <c r="X67">
        <v>116.7</v>
      </c>
      <c r="Y67">
        <v>114.3</v>
      </c>
      <c r="Z67">
        <v>111.8</v>
      </c>
      <c r="AA67">
        <v>113.3</v>
      </c>
      <c r="AB67">
        <v>118.8</v>
      </c>
      <c r="AC67">
        <v>109.6</v>
      </c>
      <c r="AD67" s="7">
        <v>113.9</v>
      </c>
      <c r="AE67">
        <v>120.1</v>
      </c>
    </row>
    <row r="68" spans="1:31" x14ac:dyDescent="0.3">
      <c r="A68" t="s">
        <v>30</v>
      </c>
      <c r="B68">
        <v>2014</v>
      </c>
      <c r="C68" t="s">
        <v>45</v>
      </c>
      <c r="D68" s="10" t="str">
        <f xml:space="preserve"> _xlfn.CONCAT(Table1[[#This Row],[Month]],",",Table1[[#This Row],[Year]])</f>
        <v>November,2014</v>
      </c>
      <c r="E68">
        <v>122.7</v>
      </c>
      <c r="F68">
        <v>122.6</v>
      </c>
      <c r="G68">
        <v>119.9</v>
      </c>
      <c r="H68">
        <v>124</v>
      </c>
      <c r="I68">
        <v>110.5</v>
      </c>
      <c r="J68">
        <v>128.80000000000001</v>
      </c>
      <c r="K68">
        <v>152</v>
      </c>
      <c r="L68">
        <v>116.2</v>
      </c>
      <c r="M68">
        <v>103.3</v>
      </c>
      <c r="N68">
        <v>115.8</v>
      </c>
      <c r="O68">
        <v>116.8</v>
      </c>
      <c r="P68">
        <v>124.5</v>
      </c>
      <c r="Q68" s="3">
        <v>124.9</v>
      </c>
      <c r="R68" s="7">
        <v>120.8</v>
      </c>
      <c r="S68">
        <v>123.3</v>
      </c>
      <c r="T68">
        <v>120.5</v>
      </c>
      <c r="U68" s="5">
        <v>122.9</v>
      </c>
      <c r="V68" s="6" t="s">
        <v>32</v>
      </c>
      <c r="W68" s="4">
        <v>117.3</v>
      </c>
      <c r="X68">
        <v>118.1</v>
      </c>
      <c r="Y68">
        <v>115.9</v>
      </c>
      <c r="Z68">
        <v>112</v>
      </c>
      <c r="AA68">
        <v>113.3</v>
      </c>
      <c r="AB68">
        <v>117.2</v>
      </c>
      <c r="AC68">
        <v>108.8</v>
      </c>
      <c r="AD68" s="7">
        <v>114.1</v>
      </c>
      <c r="AE68">
        <v>121.1</v>
      </c>
    </row>
    <row r="69" spans="1:31" x14ac:dyDescent="0.3">
      <c r="A69" t="s">
        <v>33</v>
      </c>
      <c r="B69">
        <v>2014</v>
      </c>
      <c r="C69" t="s">
        <v>45</v>
      </c>
      <c r="D69" s="10" t="str">
        <f xml:space="preserve"> _xlfn.CONCAT(Table1[[#This Row],[Month]],",",Table1[[#This Row],[Year]])</f>
        <v>November,2014</v>
      </c>
      <c r="E69">
        <v>124.5</v>
      </c>
      <c r="F69">
        <v>125.6</v>
      </c>
      <c r="G69">
        <v>122.7</v>
      </c>
      <c r="H69">
        <v>124.6</v>
      </c>
      <c r="I69">
        <v>103.2</v>
      </c>
      <c r="J69">
        <v>122.2</v>
      </c>
      <c r="K69">
        <v>153.19999999999999</v>
      </c>
      <c r="L69">
        <v>119.3</v>
      </c>
      <c r="M69">
        <v>99.8</v>
      </c>
      <c r="N69">
        <v>124.6</v>
      </c>
      <c r="O69">
        <v>115.8</v>
      </c>
      <c r="P69">
        <v>126.9</v>
      </c>
      <c r="Q69" s="3">
        <v>125.4</v>
      </c>
      <c r="R69" s="7">
        <v>125.8</v>
      </c>
      <c r="S69">
        <v>120.3</v>
      </c>
      <c r="T69">
        <v>115.4</v>
      </c>
      <c r="U69" s="5">
        <v>119.5</v>
      </c>
      <c r="V69" s="6">
        <v>117.1</v>
      </c>
      <c r="W69" s="4">
        <v>112.6</v>
      </c>
      <c r="X69">
        <v>116.4</v>
      </c>
      <c r="Y69">
        <v>113</v>
      </c>
      <c r="Z69">
        <v>109.7</v>
      </c>
      <c r="AA69">
        <v>114</v>
      </c>
      <c r="AB69">
        <v>120.3</v>
      </c>
      <c r="AC69">
        <v>109.6</v>
      </c>
      <c r="AD69" s="7">
        <v>113.4</v>
      </c>
      <c r="AE69">
        <v>119</v>
      </c>
    </row>
    <row r="70" spans="1:31" x14ac:dyDescent="0.3">
      <c r="A70" t="s">
        <v>34</v>
      </c>
      <c r="B70">
        <v>2014</v>
      </c>
      <c r="C70" t="s">
        <v>45</v>
      </c>
      <c r="D70" s="10" t="str">
        <f xml:space="preserve"> _xlfn.CONCAT(Table1[[#This Row],[Month]],",",Table1[[#This Row],[Year]])</f>
        <v>November,2014</v>
      </c>
      <c r="E70">
        <v>123.3</v>
      </c>
      <c r="F70">
        <v>123.7</v>
      </c>
      <c r="G70">
        <v>121</v>
      </c>
      <c r="H70">
        <v>124.2</v>
      </c>
      <c r="I70">
        <v>107.8</v>
      </c>
      <c r="J70">
        <v>125.7</v>
      </c>
      <c r="K70">
        <v>152.4</v>
      </c>
      <c r="L70">
        <v>117.2</v>
      </c>
      <c r="M70">
        <v>102.1</v>
      </c>
      <c r="N70">
        <v>118.7</v>
      </c>
      <c r="O70">
        <v>116.4</v>
      </c>
      <c r="P70">
        <v>125.6</v>
      </c>
      <c r="Q70" s="3">
        <v>125.1</v>
      </c>
      <c r="R70" s="7">
        <v>122.1</v>
      </c>
      <c r="S70">
        <v>122.1</v>
      </c>
      <c r="T70">
        <v>118.4</v>
      </c>
      <c r="U70" s="5">
        <v>121.6</v>
      </c>
      <c r="V70" s="6">
        <v>117.1</v>
      </c>
      <c r="W70" s="4">
        <v>115.5</v>
      </c>
      <c r="X70">
        <v>117.3</v>
      </c>
      <c r="Y70">
        <v>114.8</v>
      </c>
      <c r="Z70">
        <v>110.8</v>
      </c>
      <c r="AA70">
        <v>113.7</v>
      </c>
      <c r="AB70">
        <v>119</v>
      </c>
      <c r="AC70">
        <v>109.1</v>
      </c>
      <c r="AD70" s="7">
        <v>113.8</v>
      </c>
      <c r="AE70">
        <v>120.1</v>
      </c>
    </row>
    <row r="71" spans="1:31" x14ac:dyDescent="0.3">
      <c r="A71" t="s">
        <v>30</v>
      </c>
      <c r="B71">
        <v>2014</v>
      </c>
      <c r="C71" t="s">
        <v>46</v>
      </c>
      <c r="D71" s="10" t="str">
        <f xml:space="preserve"> _xlfn.CONCAT(Table1[[#This Row],[Month]],",",Table1[[#This Row],[Year]])</f>
        <v>December,2014</v>
      </c>
      <c r="E71">
        <v>122.4</v>
      </c>
      <c r="F71">
        <v>122.4</v>
      </c>
      <c r="G71">
        <v>121.8</v>
      </c>
      <c r="H71">
        <v>124.2</v>
      </c>
      <c r="I71">
        <v>110.2</v>
      </c>
      <c r="J71">
        <v>128.6</v>
      </c>
      <c r="K71">
        <v>140.30000000000001</v>
      </c>
      <c r="L71">
        <v>116.3</v>
      </c>
      <c r="M71">
        <v>102</v>
      </c>
      <c r="N71">
        <v>116</v>
      </c>
      <c r="O71">
        <v>117.3</v>
      </c>
      <c r="P71">
        <v>124.8</v>
      </c>
      <c r="Q71" s="3">
        <v>123.3</v>
      </c>
      <c r="R71" s="7">
        <v>121.7</v>
      </c>
      <c r="S71">
        <v>123.8</v>
      </c>
      <c r="T71">
        <v>120.6</v>
      </c>
      <c r="U71" s="5">
        <v>123.3</v>
      </c>
      <c r="V71" s="6" t="s">
        <v>32</v>
      </c>
      <c r="W71" s="4">
        <v>117.4</v>
      </c>
      <c r="X71">
        <v>118.2</v>
      </c>
      <c r="Y71">
        <v>116.2</v>
      </c>
      <c r="Z71">
        <v>111.5</v>
      </c>
      <c r="AA71">
        <v>113.3</v>
      </c>
      <c r="AB71">
        <v>117.7</v>
      </c>
      <c r="AC71">
        <v>109.4</v>
      </c>
      <c r="AD71" s="7">
        <v>114.2</v>
      </c>
      <c r="AE71">
        <v>120.3</v>
      </c>
    </row>
    <row r="72" spans="1:31" x14ac:dyDescent="0.3">
      <c r="A72" t="s">
        <v>33</v>
      </c>
      <c r="B72">
        <v>2014</v>
      </c>
      <c r="C72" t="s">
        <v>46</v>
      </c>
      <c r="D72" s="10" t="str">
        <f xml:space="preserve"> _xlfn.CONCAT(Table1[[#This Row],[Month]],",",Table1[[#This Row],[Year]])</f>
        <v>December,2014</v>
      </c>
      <c r="E72">
        <v>124</v>
      </c>
      <c r="F72">
        <v>124.7</v>
      </c>
      <c r="G72">
        <v>126.3</v>
      </c>
      <c r="H72">
        <v>124.9</v>
      </c>
      <c r="I72">
        <v>103</v>
      </c>
      <c r="J72">
        <v>122.3</v>
      </c>
      <c r="K72">
        <v>141</v>
      </c>
      <c r="L72">
        <v>120.1</v>
      </c>
      <c r="M72">
        <v>97.8</v>
      </c>
      <c r="N72">
        <v>125.4</v>
      </c>
      <c r="O72">
        <v>116.1</v>
      </c>
      <c r="P72">
        <v>127.6</v>
      </c>
      <c r="Q72" s="3">
        <v>124</v>
      </c>
      <c r="R72" s="7">
        <v>126.4</v>
      </c>
      <c r="S72">
        <v>120.7</v>
      </c>
      <c r="T72">
        <v>115.8</v>
      </c>
      <c r="U72" s="5">
        <v>120</v>
      </c>
      <c r="V72" s="6">
        <v>116.5</v>
      </c>
      <c r="W72" s="4">
        <v>113</v>
      </c>
      <c r="X72">
        <v>116.8</v>
      </c>
      <c r="Y72">
        <v>113.2</v>
      </c>
      <c r="Z72">
        <v>108.8</v>
      </c>
      <c r="AA72">
        <v>114.3</v>
      </c>
      <c r="AB72">
        <v>120.7</v>
      </c>
      <c r="AC72">
        <v>110.4</v>
      </c>
      <c r="AD72" s="7">
        <v>113.4</v>
      </c>
      <c r="AE72">
        <v>118.4</v>
      </c>
    </row>
    <row r="73" spans="1:31" x14ac:dyDescent="0.3">
      <c r="A73" t="s">
        <v>34</v>
      </c>
      <c r="B73">
        <v>2014</v>
      </c>
      <c r="C73" t="s">
        <v>46</v>
      </c>
      <c r="D73" s="10" t="str">
        <f xml:space="preserve"> _xlfn.CONCAT(Table1[[#This Row],[Month]],",",Table1[[#This Row],[Year]])</f>
        <v>December,2014</v>
      </c>
      <c r="E73">
        <v>122.9</v>
      </c>
      <c r="F73">
        <v>123.2</v>
      </c>
      <c r="G73">
        <v>123.5</v>
      </c>
      <c r="H73">
        <v>124.5</v>
      </c>
      <c r="I73">
        <v>107.6</v>
      </c>
      <c r="J73">
        <v>125.7</v>
      </c>
      <c r="K73">
        <v>140.5</v>
      </c>
      <c r="L73">
        <v>117.6</v>
      </c>
      <c r="M73">
        <v>100.6</v>
      </c>
      <c r="N73">
        <v>119.1</v>
      </c>
      <c r="O73">
        <v>116.8</v>
      </c>
      <c r="P73">
        <v>126.1</v>
      </c>
      <c r="Q73" s="3">
        <v>123.6</v>
      </c>
      <c r="R73" s="7">
        <v>123</v>
      </c>
      <c r="S73">
        <v>122.6</v>
      </c>
      <c r="T73">
        <v>118.6</v>
      </c>
      <c r="U73" s="5">
        <v>122</v>
      </c>
      <c r="V73" s="6">
        <v>116.5</v>
      </c>
      <c r="W73" s="4">
        <v>115.7</v>
      </c>
      <c r="X73">
        <v>117.5</v>
      </c>
      <c r="Y73">
        <v>115.1</v>
      </c>
      <c r="Z73">
        <v>110.1</v>
      </c>
      <c r="AA73">
        <v>113.9</v>
      </c>
      <c r="AB73">
        <v>119.5</v>
      </c>
      <c r="AC73">
        <v>109.8</v>
      </c>
      <c r="AD73" s="7">
        <v>113.8</v>
      </c>
      <c r="AE73">
        <v>119.4</v>
      </c>
    </row>
    <row r="74" spans="1:31" x14ac:dyDescent="0.3">
      <c r="A74" t="s">
        <v>30</v>
      </c>
      <c r="B74">
        <v>2015</v>
      </c>
      <c r="C74" t="s">
        <v>31</v>
      </c>
      <c r="D74" s="10" t="str">
        <f xml:space="preserve"> _xlfn.CONCAT(Table1[[#This Row],[Month]],",",Table1[[#This Row],[Year]])</f>
        <v>January,2015</v>
      </c>
      <c r="E74">
        <v>123.1</v>
      </c>
      <c r="F74">
        <v>123.1</v>
      </c>
      <c r="G74">
        <v>122.1</v>
      </c>
      <c r="H74">
        <v>124.9</v>
      </c>
      <c r="I74">
        <v>111</v>
      </c>
      <c r="J74">
        <v>130.4</v>
      </c>
      <c r="K74">
        <v>132.30000000000001</v>
      </c>
      <c r="L74">
        <v>117.2</v>
      </c>
      <c r="M74">
        <v>100.5</v>
      </c>
      <c r="N74">
        <v>117.2</v>
      </c>
      <c r="O74">
        <v>117.9</v>
      </c>
      <c r="P74">
        <v>125.6</v>
      </c>
      <c r="Q74" s="3">
        <v>122.8</v>
      </c>
      <c r="R74" s="7">
        <v>122.7</v>
      </c>
      <c r="S74">
        <v>124.4</v>
      </c>
      <c r="T74">
        <v>121.6</v>
      </c>
      <c r="U74" s="5">
        <v>124</v>
      </c>
      <c r="V74" s="6" t="s">
        <v>32</v>
      </c>
      <c r="W74" s="4">
        <v>118.4</v>
      </c>
      <c r="X74">
        <v>118.9</v>
      </c>
      <c r="Y74">
        <v>116.6</v>
      </c>
      <c r="Z74">
        <v>111</v>
      </c>
      <c r="AA74">
        <v>114</v>
      </c>
      <c r="AB74">
        <v>118.2</v>
      </c>
      <c r="AC74">
        <v>110.2</v>
      </c>
      <c r="AD74" s="7">
        <v>114.5</v>
      </c>
      <c r="AE74">
        <v>120.3</v>
      </c>
    </row>
    <row r="75" spans="1:31" x14ac:dyDescent="0.3">
      <c r="A75" t="s">
        <v>33</v>
      </c>
      <c r="B75">
        <v>2015</v>
      </c>
      <c r="C75" t="s">
        <v>31</v>
      </c>
      <c r="D75" s="10" t="str">
        <f xml:space="preserve"> _xlfn.CONCAT(Table1[[#This Row],[Month]],",",Table1[[#This Row],[Year]])</f>
        <v>January,2015</v>
      </c>
      <c r="E75">
        <v>124</v>
      </c>
      <c r="F75">
        <v>125.5</v>
      </c>
      <c r="G75">
        <v>126.6</v>
      </c>
      <c r="H75">
        <v>125.2</v>
      </c>
      <c r="I75">
        <v>104.3</v>
      </c>
      <c r="J75">
        <v>121.3</v>
      </c>
      <c r="K75">
        <v>134.4</v>
      </c>
      <c r="L75">
        <v>122.9</v>
      </c>
      <c r="M75">
        <v>96.1</v>
      </c>
      <c r="N75">
        <v>126.6</v>
      </c>
      <c r="O75">
        <v>116.5</v>
      </c>
      <c r="P75">
        <v>128</v>
      </c>
      <c r="Q75" s="3">
        <v>123.5</v>
      </c>
      <c r="R75" s="7">
        <v>127.4</v>
      </c>
      <c r="S75">
        <v>121</v>
      </c>
      <c r="T75">
        <v>116.1</v>
      </c>
      <c r="U75" s="5">
        <v>120.2</v>
      </c>
      <c r="V75" s="6">
        <v>117.3</v>
      </c>
      <c r="W75" s="4">
        <v>113.4</v>
      </c>
      <c r="X75">
        <v>117.2</v>
      </c>
      <c r="Y75">
        <v>113.7</v>
      </c>
      <c r="Z75">
        <v>107.9</v>
      </c>
      <c r="AA75">
        <v>114.6</v>
      </c>
      <c r="AB75">
        <v>120.8</v>
      </c>
      <c r="AC75">
        <v>111.4</v>
      </c>
      <c r="AD75" s="7">
        <v>113.4</v>
      </c>
      <c r="AE75">
        <v>118.5</v>
      </c>
    </row>
    <row r="76" spans="1:31" x14ac:dyDescent="0.3">
      <c r="A76" t="s">
        <v>34</v>
      </c>
      <c r="B76">
        <v>2015</v>
      </c>
      <c r="C76" t="s">
        <v>31</v>
      </c>
      <c r="D76" s="10" t="str">
        <f xml:space="preserve"> _xlfn.CONCAT(Table1[[#This Row],[Month]],",",Table1[[#This Row],[Year]])</f>
        <v>January,2015</v>
      </c>
      <c r="E76">
        <v>123.4</v>
      </c>
      <c r="F76">
        <v>123.9</v>
      </c>
      <c r="G76">
        <v>123.8</v>
      </c>
      <c r="H76">
        <v>125</v>
      </c>
      <c r="I76">
        <v>108.5</v>
      </c>
      <c r="J76">
        <v>126.2</v>
      </c>
      <c r="K76">
        <v>133</v>
      </c>
      <c r="L76">
        <v>119.1</v>
      </c>
      <c r="M76">
        <v>99</v>
      </c>
      <c r="N76">
        <v>120.3</v>
      </c>
      <c r="O76">
        <v>117.3</v>
      </c>
      <c r="P76">
        <v>126.7</v>
      </c>
      <c r="Q76" s="3">
        <v>123.1</v>
      </c>
      <c r="R76" s="7">
        <v>124</v>
      </c>
      <c r="S76">
        <v>123.1</v>
      </c>
      <c r="T76">
        <v>119.3</v>
      </c>
      <c r="U76" s="5">
        <v>122.5</v>
      </c>
      <c r="V76" s="6">
        <v>117.3</v>
      </c>
      <c r="W76" s="4">
        <v>116.5</v>
      </c>
      <c r="X76">
        <v>118.1</v>
      </c>
      <c r="Y76">
        <v>115.5</v>
      </c>
      <c r="Z76">
        <v>109.4</v>
      </c>
      <c r="AA76">
        <v>114.3</v>
      </c>
      <c r="AB76">
        <v>119.7</v>
      </c>
      <c r="AC76">
        <v>110.7</v>
      </c>
      <c r="AD76" s="7">
        <v>114</v>
      </c>
      <c r="AE76">
        <v>119.5</v>
      </c>
    </row>
    <row r="77" spans="1:31" x14ac:dyDescent="0.3">
      <c r="A77" t="s">
        <v>30</v>
      </c>
      <c r="B77">
        <v>2015</v>
      </c>
      <c r="C77" t="s">
        <v>35</v>
      </c>
      <c r="D77" s="10" t="str">
        <f xml:space="preserve"> _xlfn.CONCAT(Table1[[#This Row],[Month]],",",Table1[[#This Row],[Year]])</f>
        <v>February,2015</v>
      </c>
      <c r="E77">
        <v>123.4</v>
      </c>
      <c r="F77">
        <v>124.4</v>
      </c>
      <c r="G77">
        <v>122.1</v>
      </c>
      <c r="H77">
        <v>125.8</v>
      </c>
      <c r="I77">
        <v>111.5</v>
      </c>
      <c r="J77">
        <v>129.4</v>
      </c>
      <c r="K77">
        <v>128.19999999999999</v>
      </c>
      <c r="L77">
        <v>118.8</v>
      </c>
      <c r="M77">
        <v>100</v>
      </c>
      <c r="N77">
        <v>118.6</v>
      </c>
      <c r="O77">
        <v>118.8</v>
      </c>
      <c r="P77">
        <v>126.8</v>
      </c>
      <c r="Q77" s="3">
        <v>122.8</v>
      </c>
      <c r="R77" s="7">
        <v>124.2</v>
      </c>
      <c r="S77">
        <v>125.4</v>
      </c>
      <c r="T77">
        <v>122.7</v>
      </c>
      <c r="U77" s="5">
        <v>125</v>
      </c>
      <c r="V77" s="6" t="s">
        <v>32</v>
      </c>
      <c r="W77" s="4">
        <v>120</v>
      </c>
      <c r="X77">
        <v>119.6</v>
      </c>
      <c r="Y77">
        <v>117.7</v>
      </c>
      <c r="Z77">
        <v>110.9</v>
      </c>
      <c r="AA77">
        <v>114.8</v>
      </c>
      <c r="AB77">
        <v>118.7</v>
      </c>
      <c r="AC77">
        <v>110.8</v>
      </c>
      <c r="AD77" s="7">
        <v>115</v>
      </c>
      <c r="AE77">
        <v>120.6</v>
      </c>
    </row>
    <row r="78" spans="1:31" x14ac:dyDescent="0.3">
      <c r="A78" t="s">
        <v>33</v>
      </c>
      <c r="B78">
        <v>2015</v>
      </c>
      <c r="C78" t="s">
        <v>35</v>
      </c>
      <c r="D78" s="10" t="str">
        <f xml:space="preserve"> _xlfn.CONCAT(Table1[[#This Row],[Month]],",",Table1[[#This Row],[Year]])</f>
        <v>February,2015</v>
      </c>
      <c r="E78">
        <v>124.3</v>
      </c>
      <c r="F78">
        <v>126.5</v>
      </c>
      <c r="G78">
        <v>119.5</v>
      </c>
      <c r="H78">
        <v>125.6</v>
      </c>
      <c r="I78">
        <v>104.9</v>
      </c>
      <c r="J78">
        <v>121.6</v>
      </c>
      <c r="K78">
        <v>131.80000000000001</v>
      </c>
      <c r="L78">
        <v>125.1</v>
      </c>
      <c r="M78">
        <v>95</v>
      </c>
      <c r="N78">
        <v>127.7</v>
      </c>
      <c r="O78">
        <v>116.8</v>
      </c>
      <c r="P78">
        <v>128.6</v>
      </c>
      <c r="Q78" s="3">
        <v>123.7</v>
      </c>
      <c r="R78" s="7">
        <v>128.1</v>
      </c>
      <c r="S78">
        <v>121.3</v>
      </c>
      <c r="T78">
        <v>116.5</v>
      </c>
      <c r="U78" s="5">
        <v>120.6</v>
      </c>
      <c r="V78" s="6">
        <v>118.1</v>
      </c>
      <c r="W78" s="4">
        <v>114</v>
      </c>
      <c r="X78">
        <v>117.7</v>
      </c>
      <c r="Y78">
        <v>114.1</v>
      </c>
      <c r="Z78">
        <v>106.8</v>
      </c>
      <c r="AA78">
        <v>114.9</v>
      </c>
      <c r="AB78">
        <v>120.4</v>
      </c>
      <c r="AC78">
        <v>111.7</v>
      </c>
      <c r="AD78" s="7">
        <v>113.2</v>
      </c>
      <c r="AE78">
        <v>118.7</v>
      </c>
    </row>
    <row r="79" spans="1:31" x14ac:dyDescent="0.3">
      <c r="A79" t="s">
        <v>34</v>
      </c>
      <c r="B79">
        <v>2015</v>
      </c>
      <c r="C79" t="s">
        <v>35</v>
      </c>
      <c r="D79" s="10" t="str">
        <f xml:space="preserve"> _xlfn.CONCAT(Table1[[#This Row],[Month]],",",Table1[[#This Row],[Year]])</f>
        <v>February,2015</v>
      </c>
      <c r="E79">
        <v>123.7</v>
      </c>
      <c r="F79">
        <v>125.1</v>
      </c>
      <c r="G79">
        <v>121.1</v>
      </c>
      <c r="H79">
        <v>125.7</v>
      </c>
      <c r="I79">
        <v>109.1</v>
      </c>
      <c r="J79">
        <v>125.8</v>
      </c>
      <c r="K79">
        <v>129.4</v>
      </c>
      <c r="L79">
        <v>120.9</v>
      </c>
      <c r="M79">
        <v>98.3</v>
      </c>
      <c r="N79">
        <v>121.6</v>
      </c>
      <c r="O79">
        <v>118</v>
      </c>
      <c r="P79">
        <v>127.6</v>
      </c>
      <c r="Q79" s="3">
        <v>123.1</v>
      </c>
      <c r="R79" s="7">
        <v>125.2</v>
      </c>
      <c r="S79">
        <v>123.8</v>
      </c>
      <c r="T79">
        <v>120.1</v>
      </c>
      <c r="U79" s="5">
        <v>123.3</v>
      </c>
      <c r="V79" s="6">
        <v>118.1</v>
      </c>
      <c r="W79" s="4">
        <v>117.7</v>
      </c>
      <c r="X79">
        <v>118.7</v>
      </c>
      <c r="Y79">
        <v>116.3</v>
      </c>
      <c r="Z79">
        <v>108.7</v>
      </c>
      <c r="AA79">
        <v>114.9</v>
      </c>
      <c r="AB79">
        <v>119.7</v>
      </c>
      <c r="AC79">
        <v>111.2</v>
      </c>
      <c r="AD79" s="7">
        <v>114.1</v>
      </c>
      <c r="AE79">
        <v>119.7</v>
      </c>
    </row>
    <row r="80" spans="1:31" x14ac:dyDescent="0.3">
      <c r="A80" t="s">
        <v>30</v>
      </c>
      <c r="B80">
        <v>2015</v>
      </c>
      <c r="C80" t="s">
        <v>36</v>
      </c>
      <c r="D80" s="10" t="str">
        <f xml:space="preserve"> _xlfn.CONCAT(Table1[[#This Row],[Month]],",",Table1[[#This Row],[Year]])</f>
        <v>March,2015</v>
      </c>
      <c r="E80">
        <v>123.3</v>
      </c>
      <c r="F80">
        <v>124.7</v>
      </c>
      <c r="G80">
        <v>118.9</v>
      </c>
      <c r="H80">
        <v>126</v>
      </c>
      <c r="I80">
        <v>111.8</v>
      </c>
      <c r="J80">
        <v>130.9</v>
      </c>
      <c r="K80">
        <v>128</v>
      </c>
      <c r="L80">
        <v>119.9</v>
      </c>
      <c r="M80">
        <v>98.9</v>
      </c>
      <c r="N80">
        <v>119.4</v>
      </c>
      <c r="O80">
        <v>118.9</v>
      </c>
      <c r="P80">
        <v>127.7</v>
      </c>
      <c r="Q80" s="3">
        <v>123.1</v>
      </c>
      <c r="R80" s="7">
        <v>124.7</v>
      </c>
      <c r="S80">
        <v>126</v>
      </c>
      <c r="T80">
        <v>122.9</v>
      </c>
      <c r="U80" s="5">
        <v>125.5</v>
      </c>
      <c r="V80" s="6" t="s">
        <v>32</v>
      </c>
      <c r="W80" s="4">
        <v>120.6</v>
      </c>
      <c r="X80">
        <v>120.2</v>
      </c>
      <c r="Y80">
        <v>118.2</v>
      </c>
      <c r="Z80">
        <v>111.6</v>
      </c>
      <c r="AA80">
        <v>115.5</v>
      </c>
      <c r="AB80">
        <v>119.4</v>
      </c>
      <c r="AC80">
        <v>110.8</v>
      </c>
      <c r="AD80" s="7">
        <v>115.5</v>
      </c>
      <c r="AE80">
        <v>121.1</v>
      </c>
    </row>
    <row r="81" spans="1:31" x14ac:dyDescent="0.3">
      <c r="A81" t="s">
        <v>33</v>
      </c>
      <c r="B81">
        <v>2015</v>
      </c>
      <c r="C81" t="s">
        <v>36</v>
      </c>
      <c r="D81" s="10" t="str">
        <f xml:space="preserve"> _xlfn.CONCAT(Table1[[#This Row],[Month]],",",Table1[[#This Row],[Year]])</f>
        <v>March,2015</v>
      </c>
      <c r="E81">
        <v>124</v>
      </c>
      <c r="F81">
        <v>126.7</v>
      </c>
      <c r="G81">
        <v>113.5</v>
      </c>
      <c r="H81">
        <v>125.9</v>
      </c>
      <c r="I81">
        <v>104.8</v>
      </c>
      <c r="J81">
        <v>123.8</v>
      </c>
      <c r="K81">
        <v>131.4</v>
      </c>
      <c r="L81">
        <v>127.2</v>
      </c>
      <c r="M81">
        <v>93.2</v>
      </c>
      <c r="N81">
        <v>127.4</v>
      </c>
      <c r="O81">
        <v>117</v>
      </c>
      <c r="P81">
        <v>129.19999999999999</v>
      </c>
      <c r="Q81" s="3">
        <v>123.9</v>
      </c>
      <c r="R81" s="7">
        <v>128.80000000000001</v>
      </c>
      <c r="S81">
        <v>121.7</v>
      </c>
      <c r="T81">
        <v>116.9</v>
      </c>
      <c r="U81" s="5">
        <v>120.9</v>
      </c>
      <c r="V81" s="6">
        <v>118.6</v>
      </c>
      <c r="W81" s="4">
        <v>114.4</v>
      </c>
      <c r="X81">
        <v>118</v>
      </c>
      <c r="Y81">
        <v>114.3</v>
      </c>
      <c r="Z81">
        <v>108.4</v>
      </c>
      <c r="AA81">
        <v>115.4</v>
      </c>
      <c r="AB81">
        <v>120.6</v>
      </c>
      <c r="AC81">
        <v>111.3</v>
      </c>
      <c r="AD81" s="7">
        <v>113.8</v>
      </c>
      <c r="AE81">
        <v>119.1</v>
      </c>
    </row>
    <row r="82" spans="1:31" x14ac:dyDescent="0.3">
      <c r="A82" t="s">
        <v>34</v>
      </c>
      <c r="B82">
        <v>2015</v>
      </c>
      <c r="C82" t="s">
        <v>36</v>
      </c>
      <c r="D82" s="10" t="str">
        <f xml:space="preserve"> _xlfn.CONCAT(Table1[[#This Row],[Month]],",",Table1[[#This Row],[Year]])</f>
        <v>March,2015</v>
      </c>
      <c r="E82">
        <v>123.5</v>
      </c>
      <c r="F82">
        <v>125.4</v>
      </c>
      <c r="G82">
        <v>116.8</v>
      </c>
      <c r="H82">
        <v>126</v>
      </c>
      <c r="I82">
        <v>109.2</v>
      </c>
      <c r="J82">
        <v>127.6</v>
      </c>
      <c r="K82">
        <v>129.19999999999999</v>
      </c>
      <c r="L82">
        <v>122.4</v>
      </c>
      <c r="M82">
        <v>97</v>
      </c>
      <c r="N82">
        <v>122.1</v>
      </c>
      <c r="O82">
        <v>118.1</v>
      </c>
      <c r="P82">
        <v>128.4</v>
      </c>
      <c r="Q82" s="3">
        <v>123.4</v>
      </c>
      <c r="R82" s="7">
        <v>125.8</v>
      </c>
      <c r="S82">
        <v>124.3</v>
      </c>
      <c r="T82">
        <v>120.4</v>
      </c>
      <c r="U82" s="5">
        <v>123.7</v>
      </c>
      <c r="V82" s="6">
        <v>118.6</v>
      </c>
      <c r="W82" s="4">
        <v>118.3</v>
      </c>
      <c r="X82">
        <v>119.2</v>
      </c>
      <c r="Y82">
        <v>116.7</v>
      </c>
      <c r="Z82">
        <v>109.9</v>
      </c>
      <c r="AA82">
        <v>115.4</v>
      </c>
      <c r="AB82">
        <v>120.1</v>
      </c>
      <c r="AC82">
        <v>111</v>
      </c>
      <c r="AD82" s="7">
        <v>114.7</v>
      </c>
      <c r="AE82">
        <v>120.2</v>
      </c>
    </row>
    <row r="83" spans="1:31" x14ac:dyDescent="0.3">
      <c r="A83" t="s">
        <v>30</v>
      </c>
      <c r="B83">
        <v>2015</v>
      </c>
      <c r="C83" t="s">
        <v>37</v>
      </c>
      <c r="D83" s="10" t="str">
        <f xml:space="preserve"> _xlfn.CONCAT(Table1[[#This Row],[Month]],",",Table1[[#This Row],[Year]])</f>
        <v>April,2015</v>
      </c>
      <c r="E83">
        <v>123.3</v>
      </c>
      <c r="F83">
        <v>125.5</v>
      </c>
      <c r="G83">
        <v>117.2</v>
      </c>
      <c r="H83">
        <v>126.8</v>
      </c>
      <c r="I83">
        <v>111.9</v>
      </c>
      <c r="J83">
        <v>134.19999999999999</v>
      </c>
      <c r="K83">
        <v>127.5</v>
      </c>
      <c r="L83">
        <v>121.5</v>
      </c>
      <c r="M83">
        <v>97.8</v>
      </c>
      <c r="N83">
        <v>119.8</v>
      </c>
      <c r="O83">
        <v>119.4</v>
      </c>
      <c r="P83">
        <v>128.69999999999999</v>
      </c>
      <c r="Q83" s="3">
        <v>123.6</v>
      </c>
      <c r="R83" s="7">
        <v>125.7</v>
      </c>
      <c r="S83">
        <v>126.4</v>
      </c>
      <c r="T83">
        <v>123.3</v>
      </c>
      <c r="U83" s="5">
        <v>126</v>
      </c>
      <c r="V83" s="6" t="s">
        <v>32</v>
      </c>
      <c r="W83" s="4">
        <v>121.2</v>
      </c>
      <c r="X83">
        <v>120.9</v>
      </c>
      <c r="Y83">
        <v>118.6</v>
      </c>
      <c r="Z83">
        <v>111.9</v>
      </c>
      <c r="AA83">
        <v>116.2</v>
      </c>
      <c r="AB83">
        <v>119.9</v>
      </c>
      <c r="AC83">
        <v>111.6</v>
      </c>
      <c r="AD83" s="7">
        <v>116</v>
      </c>
      <c r="AE83">
        <v>121.5</v>
      </c>
    </row>
    <row r="84" spans="1:31" x14ac:dyDescent="0.3">
      <c r="A84" t="s">
        <v>33</v>
      </c>
      <c r="B84">
        <v>2015</v>
      </c>
      <c r="C84" t="s">
        <v>37</v>
      </c>
      <c r="D84" s="10" t="str">
        <f xml:space="preserve"> _xlfn.CONCAT(Table1[[#This Row],[Month]],",",Table1[[#This Row],[Year]])</f>
        <v>April,2015</v>
      </c>
      <c r="E84">
        <v>123.8</v>
      </c>
      <c r="F84">
        <v>128.19999999999999</v>
      </c>
      <c r="G84">
        <v>110</v>
      </c>
      <c r="H84">
        <v>126.3</v>
      </c>
      <c r="I84">
        <v>104.5</v>
      </c>
      <c r="J84">
        <v>130.6</v>
      </c>
      <c r="K84">
        <v>130.80000000000001</v>
      </c>
      <c r="L84">
        <v>131.30000000000001</v>
      </c>
      <c r="M84">
        <v>91.6</v>
      </c>
      <c r="N84">
        <v>127.7</v>
      </c>
      <c r="O84">
        <v>117.2</v>
      </c>
      <c r="P84">
        <v>129.5</v>
      </c>
      <c r="Q84" s="3">
        <v>124.6</v>
      </c>
      <c r="R84" s="7">
        <v>130.1</v>
      </c>
      <c r="S84">
        <v>122.1</v>
      </c>
      <c r="T84">
        <v>117.2</v>
      </c>
      <c r="U84" s="5">
        <v>121.3</v>
      </c>
      <c r="V84" s="6">
        <v>119.2</v>
      </c>
      <c r="W84" s="4">
        <v>114.7</v>
      </c>
      <c r="X84">
        <v>118.4</v>
      </c>
      <c r="Y84">
        <v>114.6</v>
      </c>
      <c r="Z84">
        <v>108.4</v>
      </c>
      <c r="AA84">
        <v>115.6</v>
      </c>
      <c r="AB84">
        <v>121.7</v>
      </c>
      <c r="AC84">
        <v>111.8</v>
      </c>
      <c r="AD84" s="7">
        <v>114.2</v>
      </c>
      <c r="AE84">
        <v>119.7</v>
      </c>
    </row>
    <row r="85" spans="1:31" x14ac:dyDescent="0.3">
      <c r="A85" t="s">
        <v>34</v>
      </c>
      <c r="B85">
        <v>2015</v>
      </c>
      <c r="C85" t="s">
        <v>37</v>
      </c>
      <c r="D85" s="10" t="str">
        <f xml:space="preserve"> _xlfn.CONCAT(Table1[[#This Row],[Month]],",",Table1[[#This Row],[Year]])</f>
        <v>April,2015</v>
      </c>
      <c r="E85">
        <v>123.5</v>
      </c>
      <c r="F85">
        <v>126.4</v>
      </c>
      <c r="G85">
        <v>114.4</v>
      </c>
      <c r="H85">
        <v>126.6</v>
      </c>
      <c r="I85">
        <v>109.2</v>
      </c>
      <c r="J85">
        <v>132.5</v>
      </c>
      <c r="K85">
        <v>128.6</v>
      </c>
      <c r="L85">
        <v>124.8</v>
      </c>
      <c r="M85">
        <v>95.7</v>
      </c>
      <c r="N85">
        <v>122.4</v>
      </c>
      <c r="O85">
        <v>118.5</v>
      </c>
      <c r="P85">
        <v>129.1</v>
      </c>
      <c r="Q85" s="3">
        <v>124</v>
      </c>
      <c r="R85" s="7">
        <v>126.9</v>
      </c>
      <c r="S85">
        <v>124.7</v>
      </c>
      <c r="T85">
        <v>120.8</v>
      </c>
      <c r="U85" s="5">
        <v>124.1</v>
      </c>
      <c r="V85" s="6">
        <v>119.2</v>
      </c>
      <c r="W85" s="4">
        <v>118.7</v>
      </c>
      <c r="X85">
        <v>119.7</v>
      </c>
      <c r="Y85">
        <v>117.1</v>
      </c>
      <c r="Z85">
        <v>110.1</v>
      </c>
      <c r="AA85">
        <v>115.9</v>
      </c>
      <c r="AB85">
        <v>121</v>
      </c>
      <c r="AC85">
        <v>111.7</v>
      </c>
      <c r="AD85" s="7">
        <v>115.1</v>
      </c>
      <c r="AE85">
        <v>120.7</v>
      </c>
    </row>
    <row r="86" spans="1:31" x14ac:dyDescent="0.3">
      <c r="A86" t="s">
        <v>30</v>
      </c>
      <c r="B86">
        <v>2015</v>
      </c>
      <c r="C86" t="s">
        <v>38</v>
      </c>
      <c r="D86" s="10" t="str">
        <f xml:space="preserve"> _xlfn.CONCAT(Table1[[#This Row],[Month]],",",Table1[[#This Row],[Year]])</f>
        <v>May,2015</v>
      </c>
      <c r="E86">
        <v>123.5</v>
      </c>
      <c r="F86">
        <v>127.1</v>
      </c>
      <c r="G86">
        <v>117.3</v>
      </c>
      <c r="H86">
        <v>127.7</v>
      </c>
      <c r="I86">
        <v>112.5</v>
      </c>
      <c r="J86">
        <v>134.1</v>
      </c>
      <c r="K86">
        <v>128.5</v>
      </c>
      <c r="L86">
        <v>124.3</v>
      </c>
      <c r="M86">
        <v>97.6</v>
      </c>
      <c r="N86">
        <v>120.7</v>
      </c>
      <c r="O86">
        <v>120.2</v>
      </c>
      <c r="P86">
        <v>129.80000000000001</v>
      </c>
      <c r="Q86" s="3">
        <v>124.4</v>
      </c>
      <c r="R86" s="7">
        <v>126.7</v>
      </c>
      <c r="S86">
        <v>127.3</v>
      </c>
      <c r="T86">
        <v>124.1</v>
      </c>
      <c r="U86" s="5">
        <v>126.8</v>
      </c>
      <c r="V86" s="6" t="s">
        <v>32</v>
      </c>
      <c r="W86" s="4">
        <v>121.9</v>
      </c>
      <c r="X86">
        <v>121.5</v>
      </c>
      <c r="Y86">
        <v>119.4</v>
      </c>
      <c r="Z86">
        <v>113.3</v>
      </c>
      <c r="AA86">
        <v>116.7</v>
      </c>
      <c r="AB86">
        <v>120.5</v>
      </c>
      <c r="AC86">
        <v>112.3</v>
      </c>
      <c r="AD86" s="7">
        <v>116.9</v>
      </c>
      <c r="AE86">
        <v>122.4</v>
      </c>
    </row>
    <row r="87" spans="1:31" x14ac:dyDescent="0.3">
      <c r="A87" t="s">
        <v>33</v>
      </c>
      <c r="B87">
        <v>2015</v>
      </c>
      <c r="C87" t="s">
        <v>38</v>
      </c>
      <c r="D87" s="10" t="str">
        <f xml:space="preserve"> _xlfn.CONCAT(Table1[[#This Row],[Month]],",",Table1[[#This Row],[Year]])</f>
        <v>May,2015</v>
      </c>
      <c r="E87">
        <v>123.8</v>
      </c>
      <c r="F87">
        <v>129.69999999999999</v>
      </c>
      <c r="G87">
        <v>111.3</v>
      </c>
      <c r="H87">
        <v>126.6</v>
      </c>
      <c r="I87">
        <v>105.2</v>
      </c>
      <c r="J87">
        <v>130.80000000000001</v>
      </c>
      <c r="K87">
        <v>135.6</v>
      </c>
      <c r="L87">
        <v>142.6</v>
      </c>
      <c r="M87">
        <v>90.8</v>
      </c>
      <c r="N87">
        <v>128.80000000000001</v>
      </c>
      <c r="O87">
        <v>117.7</v>
      </c>
      <c r="P87">
        <v>129.9</v>
      </c>
      <c r="Q87" s="3">
        <v>126.1</v>
      </c>
      <c r="R87" s="7">
        <v>131.30000000000001</v>
      </c>
      <c r="S87">
        <v>122.4</v>
      </c>
      <c r="T87">
        <v>117.4</v>
      </c>
      <c r="U87" s="5">
        <v>121.6</v>
      </c>
      <c r="V87" s="6">
        <v>119.6</v>
      </c>
      <c r="W87" s="4">
        <v>114.9</v>
      </c>
      <c r="X87">
        <v>118.7</v>
      </c>
      <c r="Y87">
        <v>114.9</v>
      </c>
      <c r="Z87">
        <v>110.8</v>
      </c>
      <c r="AA87">
        <v>116</v>
      </c>
      <c r="AB87">
        <v>122</v>
      </c>
      <c r="AC87">
        <v>112.4</v>
      </c>
      <c r="AD87" s="7">
        <v>115.2</v>
      </c>
      <c r="AE87">
        <v>120.7</v>
      </c>
    </row>
    <row r="88" spans="1:31" x14ac:dyDescent="0.3">
      <c r="A88" t="s">
        <v>34</v>
      </c>
      <c r="B88">
        <v>2015</v>
      </c>
      <c r="C88" t="s">
        <v>38</v>
      </c>
      <c r="D88" s="10" t="str">
        <f xml:space="preserve"> _xlfn.CONCAT(Table1[[#This Row],[Month]],",",Table1[[#This Row],[Year]])</f>
        <v>May,2015</v>
      </c>
      <c r="E88">
        <v>123.6</v>
      </c>
      <c r="F88">
        <v>128</v>
      </c>
      <c r="G88">
        <v>115</v>
      </c>
      <c r="H88">
        <v>127.3</v>
      </c>
      <c r="I88">
        <v>109.8</v>
      </c>
      <c r="J88">
        <v>132.6</v>
      </c>
      <c r="K88">
        <v>130.9</v>
      </c>
      <c r="L88">
        <v>130.5</v>
      </c>
      <c r="M88">
        <v>95.3</v>
      </c>
      <c r="N88">
        <v>123.4</v>
      </c>
      <c r="O88">
        <v>119.2</v>
      </c>
      <c r="P88">
        <v>129.80000000000001</v>
      </c>
      <c r="Q88" s="3">
        <v>125</v>
      </c>
      <c r="R88" s="7">
        <v>127.9</v>
      </c>
      <c r="S88">
        <v>125.4</v>
      </c>
      <c r="T88">
        <v>121.3</v>
      </c>
      <c r="U88" s="5">
        <v>124.7</v>
      </c>
      <c r="V88" s="6">
        <v>119.6</v>
      </c>
      <c r="W88" s="4">
        <v>119.2</v>
      </c>
      <c r="X88">
        <v>120.2</v>
      </c>
      <c r="Y88">
        <v>117.7</v>
      </c>
      <c r="Z88">
        <v>112</v>
      </c>
      <c r="AA88">
        <v>116.3</v>
      </c>
      <c r="AB88">
        <v>121.4</v>
      </c>
      <c r="AC88">
        <v>112.3</v>
      </c>
      <c r="AD88" s="7">
        <v>116.1</v>
      </c>
      <c r="AE88">
        <v>121.6</v>
      </c>
    </row>
    <row r="89" spans="1:31" x14ac:dyDescent="0.3">
      <c r="A89" t="s">
        <v>30</v>
      </c>
      <c r="B89">
        <v>2015</v>
      </c>
      <c r="C89" t="s">
        <v>39</v>
      </c>
      <c r="D89" s="10" t="str">
        <f xml:space="preserve"> _xlfn.CONCAT(Table1[[#This Row],[Month]],",",Table1[[#This Row],[Year]])</f>
        <v>June,2015</v>
      </c>
      <c r="E89">
        <v>124.1</v>
      </c>
      <c r="F89">
        <v>130.4</v>
      </c>
      <c r="G89">
        <v>122.1</v>
      </c>
      <c r="H89">
        <v>128.69999999999999</v>
      </c>
      <c r="I89">
        <v>114.1</v>
      </c>
      <c r="J89">
        <v>133.19999999999999</v>
      </c>
      <c r="K89">
        <v>135.19999999999999</v>
      </c>
      <c r="L89">
        <v>131.9</v>
      </c>
      <c r="M89">
        <v>96.3</v>
      </c>
      <c r="N89">
        <v>123</v>
      </c>
      <c r="O89">
        <v>121.1</v>
      </c>
      <c r="P89">
        <v>131.19999999999999</v>
      </c>
      <c r="Q89" s="3">
        <v>126.6</v>
      </c>
      <c r="R89" s="7">
        <v>128.19999999999999</v>
      </c>
      <c r="S89">
        <v>128.4</v>
      </c>
      <c r="T89">
        <v>125.1</v>
      </c>
      <c r="U89" s="5">
        <v>128</v>
      </c>
      <c r="V89" s="6" t="s">
        <v>32</v>
      </c>
      <c r="W89" s="4">
        <v>122.6</v>
      </c>
      <c r="X89">
        <v>122.8</v>
      </c>
      <c r="Y89">
        <v>120.4</v>
      </c>
      <c r="Z89">
        <v>114.2</v>
      </c>
      <c r="AA89">
        <v>117.9</v>
      </c>
      <c r="AB89">
        <v>122</v>
      </c>
      <c r="AC89">
        <v>113</v>
      </c>
      <c r="AD89" s="7">
        <v>117.9</v>
      </c>
      <c r="AE89">
        <v>124.1</v>
      </c>
    </row>
    <row r="90" spans="1:31" x14ac:dyDescent="0.3">
      <c r="A90" t="s">
        <v>33</v>
      </c>
      <c r="B90">
        <v>2015</v>
      </c>
      <c r="C90" t="s">
        <v>39</v>
      </c>
      <c r="D90" s="10" t="str">
        <f xml:space="preserve"> _xlfn.CONCAT(Table1[[#This Row],[Month]],",",Table1[[#This Row],[Year]])</f>
        <v>June,2015</v>
      </c>
      <c r="E90">
        <v>123.6</v>
      </c>
      <c r="F90">
        <v>134.4</v>
      </c>
      <c r="G90">
        <v>120.9</v>
      </c>
      <c r="H90">
        <v>127.3</v>
      </c>
      <c r="I90">
        <v>106</v>
      </c>
      <c r="J90">
        <v>132.30000000000001</v>
      </c>
      <c r="K90">
        <v>146.69999999999999</v>
      </c>
      <c r="L90">
        <v>148.1</v>
      </c>
      <c r="M90">
        <v>89.8</v>
      </c>
      <c r="N90">
        <v>130.5</v>
      </c>
      <c r="O90">
        <v>118</v>
      </c>
      <c r="P90">
        <v>130.5</v>
      </c>
      <c r="Q90" s="3">
        <v>128.5</v>
      </c>
      <c r="R90" s="7">
        <v>132.1</v>
      </c>
      <c r="S90">
        <v>123.2</v>
      </c>
      <c r="T90">
        <v>117.6</v>
      </c>
      <c r="U90" s="5">
        <v>122.3</v>
      </c>
      <c r="V90" s="6">
        <v>119</v>
      </c>
      <c r="W90" s="4">
        <v>115.1</v>
      </c>
      <c r="X90">
        <v>119.2</v>
      </c>
      <c r="Y90">
        <v>115.4</v>
      </c>
      <c r="Z90">
        <v>111.7</v>
      </c>
      <c r="AA90">
        <v>116.2</v>
      </c>
      <c r="AB90">
        <v>123.8</v>
      </c>
      <c r="AC90">
        <v>112.5</v>
      </c>
      <c r="AD90" s="7">
        <v>116</v>
      </c>
      <c r="AE90">
        <v>121.7</v>
      </c>
    </row>
    <row r="91" spans="1:31" x14ac:dyDescent="0.3">
      <c r="A91" t="s">
        <v>34</v>
      </c>
      <c r="B91">
        <v>2015</v>
      </c>
      <c r="C91" t="s">
        <v>39</v>
      </c>
      <c r="D91" s="10" t="str">
        <f xml:space="preserve"> _xlfn.CONCAT(Table1[[#This Row],[Month]],",",Table1[[#This Row],[Year]])</f>
        <v>June,2015</v>
      </c>
      <c r="E91">
        <v>123.9</v>
      </c>
      <c r="F91">
        <v>131.80000000000001</v>
      </c>
      <c r="G91">
        <v>121.6</v>
      </c>
      <c r="H91">
        <v>128.19999999999999</v>
      </c>
      <c r="I91">
        <v>111.1</v>
      </c>
      <c r="J91">
        <v>132.80000000000001</v>
      </c>
      <c r="K91">
        <v>139.1</v>
      </c>
      <c r="L91">
        <v>137.4</v>
      </c>
      <c r="M91">
        <v>94.1</v>
      </c>
      <c r="N91">
        <v>125.5</v>
      </c>
      <c r="O91">
        <v>119.8</v>
      </c>
      <c r="P91">
        <v>130.9</v>
      </c>
      <c r="Q91" s="3">
        <v>127.3</v>
      </c>
      <c r="R91" s="7">
        <v>129.19999999999999</v>
      </c>
      <c r="S91">
        <v>126.4</v>
      </c>
      <c r="T91">
        <v>122</v>
      </c>
      <c r="U91" s="5">
        <v>125.7</v>
      </c>
      <c r="V91" s="6">
        <v>119</v>
      </c>
      <c r="W91" s="4">
        <v>119.8</v>
      </c>
      <c r="X91">
        <v>121.1</v>
      </c>
      <c r="Y91">
        <v>118.5</v>
      </c>
      <c r="Z91">
        <v>112.9</v>
      </c>
      <c r="AA91">
        <v>116.9</v>
      </c>
      <c r="AB91">
        <v>123.1</v>
      </c>
      <c r="AC91">
        <v>112.8</v>
      </c>
      <c r="AD91" s="7">
        <v>117</v>
      </c>
      <c r="AE91">
        <v>123</v>
      </c>
    </row>
    <row r="92" spans="1:31" x14ac:dyDescent="0.3">
      <c r="A92" t="s">
        <v>30</v>
      </c>
      <c r="B92">
        <v>2015</v>
      </c>
      <c r="C92" t="s">
        <v>40</v>
      </c>
      <c r="D92" s="10" t="str">
        <f xml:space="preserve"> _xlfn.CONCAT(Table1[[#This Row],[Month]],",",Table1[[#This Row],[Year]])</f>
        <v>July,2015</v>
      </c>
      <c r="E92">
        <v>124</v>
      </c>
      <c r="F92">
        <v>131.5</v>
      </c>
      <c r="G92">
        <v>122</v>
      </c>
      <c r="H92">
        <v>128.69999999999999</v>
      </c>
      <c r="I92">
        <v>113.5</v>
      </c>
      <c r="J92">
        <v>133.30000000000001</v>
      </c>
      <c r="K92">
        <v>140.80000000000001</v>
      </c>
      <c r="L92">
        <v>133.80000000000001</v>
      </c>
      <c r="M92">
        <v>94.1</v>
      </c>
      <c r="N92">
        <v>123.4</v>
      </c>
      <c r="O92">
        <v>121</v>
      </c>
      <c r="P92">
        <v>131.69999999999999</v>
      </c>
      <c r="Q92" s="3">
        <v>127.5</v>
      </c>
      <c r="R92" s="7">
        <v>129.4</v>
      </c>
      <c r="S92">
        <v>128.80000000000001</v>
      </c>
      <c r="T92">
        <v>125.5</v>
      </c>
      <c r="U92" s="5">
        <v>128.30000000000001</v>
      </c>
      <c r="V92" s="6" t="s">
        <v>32</v>
      </c>
      <c r="W92" s="4">
        <v>123</v>
      </c>
      <c r="X92">
        <v>123</v>
      </c>
      <c r="Y92">
        <v>120.8</v>
      </c>
      <c r="Z92">
        <v>114.1</v>
      </c>
      <c r="AA92">
        <v>118</v>
      </c>
      <c r="AB92">
        <v>122.9</v>
      </c>
      <c r="AC92">
        <v>112.7</v>
      </c>
      <c r="AD92" s="7">
        <v>118.1</v>
      </c>
      <c r="AE92">
        <v>124.7</v>
      </c>
    </row>
    <row r="93" spans="1:31" x14ac:dyDescent="0.3">
      <c r="A93" t="s">
        <v>33</v>
      </c>
      <c r="B93">
        <v>2015</v>
      </c>
      <c r="C93" t="s">
        <v>40</v>
      </c>
      <c r="D93" s="10" t="str">
        <f xml:space="preserve"> _xlfn.CONCAT(Table1[[#This Row],[Month]],",",Table1[[#This Row],[Year]])</f>
        <v>July,2015</v>
      </c>
      <c r="E93">
        <v>123.2</v>
      </c>
      <c r="F93">
        <v>134.30000000000001</v>
      </c>
      <c r="G93">
        <v>119.5</v>
      </c>
      <c r="H93">
        <v>127.7</v>
      </c>
      <c r="I93">
        <v>106.3</v>
      </c>
      <c r="J93">
        <v>132.80000000000001</v>
      </c>
      <c r="K93">
        <v>153.5</v>
      </c>
      <c r="L93">
        <v>149.5</v>
      </c>
      <c r="M93">
        <v>85.7</v>
      </c>
      <c r="N93">
        <v>131.5</v>
      </c>
      <c r="O93">
        <v>118.3</v>
      </c>
      <c r="P93">
        <v>131.1</v>
      </c>
      <c r="Q93" s="3">
        <v>129.5</v>
      </c>
      <c r="R93" s="7">
        <v>133.1</v>
      </c>
      <c r="S93">
        <v>123.5</v>
      </c>
      <c r="T93">
        <v>117.9</v>
      </c>
      <c r="U93" s="5">
        <v>122.7</v>
      </c>
      <c r="V93" s="6">
        <v>119.9</v>
      </c>
      <c r="W93" s="4">
        <v>115.3</v>
      </c>
      <c r="X93">
        <v>119.5</v>
      </c>
      <c r="Y93">
        <v>116</v>
      </c>
      <c r="Z93">
        <v>111.5</v>
      </c>
      <c r="AA93">
        <v>116.6</v>
      </c>
      <c r="AB93">
        <v>125.4</v>
      </c>
      <c r="AC93">
        <v>111.7</v>
      </c>
      <c r="AD93" s="7">
        <v>116.3</v>
      </c>
      <c r="AE93">
        <v>122.4</v>
      </c>
    </row>
    <row r="94" spans="1:31" x14ac:dyDescent="0.3">
      <c r="A94" t="s">
        <v>34</v>
      </c>
      <c r="B94">
        <v>2015</v>
      </c>
      <c r="C94" t="s">
        <v>40</v>
      </c>
      <c r="D94" s="10" t="str">
        <f xml:space="preserve"> _xlfn.CONCAT(Table1[[#This Row],[Month]],",",Table1[[#This Row],[Year]])</f>
        <v>July,2015</v>
      </c>
      <c r="E94">
        <v>123.7</v>
      </c>
      <c r="F94">
        <v>132.5</v>
      </c>
      <c r="G94">
        <v>121</v>
      </c>
      <c r="H94">
        <v>128.30000000000001</v>
      </c>
      <c r="I94">
        <v>110.9</v>
      </c>
      <c r="J94">
        <v>133.1</v>
      </c>
      <c r="K94">
        <v>145.1</v>
      </c>
      <c r="L94">
        <v>139.1</v>
      </c>
      <c r="M94">
        <v>91.3</v>
      </c>
      <c r="N94">
        <v>126.1</v>
      </c>
      <c r="O94">
        <v>119.9</v>
      </c>
      <c r="P94">
        <v>131.4</v>
      </c>
      <c r="Q94" s="3">
        <v>128.19999999999999</v>
      </c>
      <c r="R94" s="7">
        <v>130.4</v>
      </c>
      <c r="S94">
        <v>126.7</v>
      </c>
      <c r="T94">
        <v>122.3</v>
      </c>
      <c r="U94" s="5">
        <v>126.1</v>
      </c>
      <c r="V94" s="6">
        <v>119.9</v>
      </c>
      <c r="W94" s="4">
        <v>120.1</v>
      </c>
      <c r="X94">
        <v>121.3</v>
      </c>
      <c r="Y94">
        <v>119</v>
      </c>
      <c r="Z94">
        <v>112.7</v>
      </c>
      <c r="AA94">
        <v>117.2</v>
      </c>
      <c r="AB94">
        <v>124.4</v>
      </c>
      <c r="AC94">
        <v>112.3</v>
      </c>
      <c r="AD94" s="7">
        <v>117.2</v>
      </c>
      <c r="AE94">
        <v>123.6</v>
      </c>
    </row>
    <row r="95" spans="1:31" x14ac:dyDescent="0.3">
      <c r="A95" t="s">
        <v>30</v>
      </c>
      <c r="B95">
        <v>2015</v>
      </c>
      <c r="C95" t="s">
        <v>41</v>
      </c>
      <c r="D95" s="10" t="str">
        <f xml:space="preserve"> _xlfn.CONCAT(Table1[[#This Row],[Month]],",",Table1[[#This Row],[Year]])</f>
        <v>August,2015</v>
      </c>
      <c r="E95">
        <v>124.7</v>
      </c>
      <c r="F95">
        <v>131.30000000000001</v>
      </c>
      <c r="G95">
        <v>121.3</v>
      </c>
      <c r="H95">
        <v>128.80000000000001</v>
      </c>
      <c r="I95">
        <v>114</v>
      </c>
      <c r="J95">
        <v>134.19999999999999</v>
      </c>
      <c r="K95">
        <v>153.6</v>
      </c>
      <c r="L95">
        <v>137.9</v>
      </c>
      <c r="M95">
        <v>93.1</v>
      </c>
      <c r="N95">
        <v>123.9</v>
      </c>
      <c r="O95">
        <v>121.5</v>
      </c>
      <c r="P95">
        <v>132.5</v>
      </c>
      <c r="Q95" s="3">
        <v>129.80000000000001</v>
      </c>
      <c r="R95" s="7">
        <v>130.1</v>
      </c>
      <c r="S95">
        <v>129.5</v>
      </c>
      <c r="T95">
        <v>126.3</v>
      </c>
      <c r="U95" s="5">
        <v>129</v>
      </c>
      <c r="V95" s="6" t="s">
        <v>32</v>
      </c>
      <c r="W95" s="4">
        <v>123.8</v>
      </c>
      <c r="X95">
        <v>123.7</v>
      </c>
      <c r="Y95">
        <v>121.1</v>
      </c>
      <c r="Z95">
        <v>113.6</v>
      </c>
      <c r="AA95">
        <v>118.5</v>
      </c>
      <c r="AB95">
        <v>123.6</v>
      </c>
      <c r="AC95">
        <v>112.5</v>
      </c>
      <c r="AD95" s="7">
        <v>118.2</v>
      </c>
      <c r="AE95">
        <v>126.1</v>
      </c>
    </row>
    <row r="96" spans="1:31" x14ac:dyDescent="0.3">
      <c r="A96" t="s">
        <v>33</v>
      </c>
      <c r="B96">
        <v>2015</v>
      </c>
      <c r="C96" t="s">
        <v>41</v>
      </c>
      <c r="D96" s="10" t="str">
        <f xml:space="preserve"> _xlfn.CONCAT(Table1[[#This Row],[Month]],",",Table1[[#This Row],[Year]])</f>
        <v>August,2015</v>
      </c>
      <c r="E96">
        <v>123.1</v>
      </c>
      <c r="F96">
        <v>131.69999999999999</v>
      </c>
      <c r="G96">
        <v>118.1</v>
      </c>
      <c r="H96">
        <v>128</v>
      </c>
      <c r="I96">
        <v>106.8</v>
      </c>
      <c r="J96">
        <v>130.1</v>
      </c>
      <c r="K96">
        <v>165.5</v>
      </c>
      <c r="L96">
        <v>156</v>
      </c>
      <c r="M96">
        <v>85.3</v>
      </c>
      <c r="N96">
        <v>132.69999999999999</v>
      </c>
      <c r="O96">
        <v>118.8</v>
      </c>
      <c r="P96">
        <v>131.69999999999999</v>
      </c>
      <c r="Q96" s="3">
        <v>131.1</v>
      </c>
      <c r="R96" s="7">
        <v>134.19999999999999</v>
      </c>
      <c r="S96">
        <v>123.7</v>
      </c>
      <c r="T96">
        <v>118.2</v>
      </c>
      <c r="U96" s="5">
        <v>122.9</v>
      </c>
      <c r="V96" s="6">
        <v>120.9</v>
      </c>
      <c r="W96" s="4">
        <v>115.3</v>
      </c>
      <c r="X96">
        <v>120</v>
      </c>
      <c r="Y96">
        <v>116.6</v>
      </c>
      <c r="Z96">
        <v>109.9</v>
      </c>
      <c r="AA96">
        <v>117.2</v>
      </c>
      <c r="AB96">
        <v>126.2</v>
      </c>
      <c r="AC96">
        <v>112</v>
      </c>
      <c r="AD96" s="7">
        <v>116.2</v>
      </c>
      <c r="AE96">
        <v>123.2</v>
      </c>
    </row>
    <row r="97" spans="1:31" x14ac:dyDescent="0.3">
      <c r="A97" t="s">
        <v>34</v>
      </c>
      <c r="B97">
        <v>2015</v>
      </c>
      <c r="C97" t="s">
        <v>41</v>
      </c>
      <c r="D97" s="10" t="str">
        <f xml:space="preserve"> _xlfn.CONCAT(Table1[[#This Row],[Month]],",",Table1[[#This Row],[Year]])</f>
        <v>August,2015</v>
      </c>
      <c r="E97">
        <v>124.2</v>
      </c>
      <c r="F97">
        <v>131.4</v>
      </c>
      <c r="G97">
        <v>120.1</v>
      </c>
      <c r="H97">
        <v>128.5</v>
      </c>
      <c r="I97">
        <v>111.4</v>
      </c>
      <c r="J97">
        <v>132.30000000000001</v>
      </c>
      <c r="K97">
        <v>157.6</v>
      </c>
      <c r="L97">
        <v>144</v>
      </c>
      <c r="M97">
        <v>90.5</v>
      </c>
      <c r="N97">
        <v>126.8</v>
      </c>
      <c r="O97">
        <v>120.4</v>
      </c>
      <c r="P97">
        <v>132.1</v>
      </c>
      <c r="Q97" s="3">
        <v>130.30000000000001</v>
      </c>
      <c r="R97" s="7">
        <v>131.19999999999999</v>
      </c>
      <c r="S97">
        <v>127.2</v>
      </c>
      <c r="T97">
        <v>122.9</v>
      </c>
      <c r="U97" s="5">
        <v>126.6</v>
      </c>
      <c r="V97" s="6">
        <v>120.9</v>
      </c>
      <c r="W97" s="4">
        <v>120.6</v>
      </c>
      <c r="X97">
        <v>122</v>
      </c>
      <c r="Y97">
        <v>119.4</v>
      </c>
      <c r="Z97">
        <v>111.7</v>
      </c>
      <c r="AA97">
        <v>117.8</v>
      </c>
      <c r="AB97">
        <v>125.1</v>
      </c>
      <c r="AC97">
        <v>112.3</v>
      </c>
      <c r="AD97" s="7">
        <v>117.2</v>
      </c>
      <c r="AE97">
        <v>124.8</v>
      </c>
    </row>
    <row r="98" spans="1:31" x14ac:dyDescent="0.3">
      <c r="A98" t="s">
        <v>30</v>
      </c>
      <c r="B98">
        <v>2015</v>
      </c>
      <c r="C98" t="s">
        <v>42</v>
      </c>
      <c r="D98" s="10" t="str">
        <f xml:space="preserve"> _xlfn.CONCAT(Table1[[#This Row],[Month]],",",Table1[[#This Row],[Year]])</f>
        <v>September,2015</v>
      </c>
      <c r="E98">
        <v>125.1</v>
      </c>
      <c r="F98">
        <v>131.1</v>
      </c>
      <c r="G98">
        <v>120.7</v>
      </c>
      <c r="H98">
        <v>129.19999999999999</v>
      </c>
      <c r="I98">
        <v>114.7</v>
      </c>
      <c r="J98">
        <v>132.30000000000001</v>
      </c>
      <c r="K98">
        <v>158.9</v>
      </c>
      <c r="L98">
        <v>142.1</v>
      </c>
      <c r="M98">
        <v>92.5</v>
      </c>
      <c r="N98">
        <v>125.4</v>
      </c>
      <c r="O98">
        <v>121.9</v>
      </c>
      <c r="P98">
        <v>132.69999999999999</v>
      </c>
      <c r="Q98" s="3">
        <v>131</v>
      </c>
      <c r="R98" s="7">
        <v>131</v>
      </c>
      <c r="S98">
        <v>130.4</v>
      </c>
      <c r="T98">
        <v>126.8</v>
      </c>
      <c r="U98" s="5">
        <v>129.9</v>
      </c>
      <c r="V98" s="6" t="s">
        <v>32</v>
      </c>
      <c r="W98" s="4">
        <v>123.7</v>
      </c>
      <c r="X98">
        <v>124.5</v>
      </c>
      <c r="Y98">
        <v>121.4</v>
      </c>
      <c r="Z98">
        <v>113.8</v>
      </c>
      <c r="AA98">
        <v>119.6</v>
      </c>
      <c r="AB98">
        <v>124.5</v>
      </c>
      <c r="AC98">
        <v>113.7</v>
      </c>
      <c r="AD98" s="7">
        <v>118.8</v>
      </c>
      <c r="AE98">
        <v>127</v>
      </c>
    </row>
    <row r="99" spans="1:31" x14ac:dyDescent="0.3">
      <c r="A99" t="s">
        <v>33</v>
      </c>
      <c r="B99">
        <v>2015</v>
      </c>
      <c r="C99" t="s">
        <v>42</v>
      </c>
      <c r="D99" s="10" t="str">
        <f xml:space="preserve"> _xlfn.CONCAT(Table1[[#This Row],[Month]],",",Table1[[#This Row],[Year]])</f>
        <v>September,2015</v>
      </c>
      <c r="E99">
        <v>123.4</v>
      </c>
      <c r="F99">
        <v>129</v>
      </c>
      <c r="G99">
        <v>115.6</v>
      </c>
      <c r="H99">
        <v>128.30000000000001</v>
      </c>
      <c r="I99">
        <v>107</v>
      </c>
      <c r="J99">
        <v>124</v>
      </c>
      <c r="K99">
        <v>168.5</v>
      </c>
      <c r="L99">
        <v>165.4</v>
      </c>
      <c r="M99">
        <v>86.3</v>
      </c>
      <c r="N99">
        <v>134.4</v>
      </c>
      <c r="O99">
        <v>119.1</v>
      </c>
      <c r="P99">
        <v>132.30000000000001</v>
      </c>
      <c r="Q99" s="3">
        <v>131.5</v>
      </c>
      <c r="R99" s="7">
        <v>134.69999999999999</v>
      </c>
      <c r="S99">
        <v>124</v>
      </c>
      <c r="T99">
        <v>118.6</v>
      </c>
      <c r="U99" s="5">
        <v>123.2</v>
      </c>
      <c r="V99" s="6">
        <v>121.6</v>
      </c>
      <c r="W99" s="4">
        <v>115.1</v>
      </c>
      <c r="X99">
        <v>120.4</v>
      </c>
      <c r="Y99">
        <v>117.1</v>
      </c>
      <c r="Z99">
        <v>109.1</v>
      </c>
      <c r="AA99">
        <v>117.3</v>
      </c>
      <c r="AB99">
        <v>126.5</v>
      </c>
      <c r="AC99">
        <v>112.9</v>
      </c>
      <c r="AD99" s="7">
        <v>116.2</v>
      </c>
      <c r="AE99">
        <v>123.5</v>
      </c>
    </row>
    <row r="100" spans="1:31" x14ac:dyDescent="0.3">
      <c r="A100" t="s">
        <v>34</v>
      </c>
      <c r="B100">
        <v>2015</v>
      </c>
      <c r="C100" t="s">
        <v>42</v>
      </c>
      <c r="D100" s="10" t="str">
        <f xml:space="preserve"> _xlfn.CONCAT(Table1[[#This Row],[Month]],",",Table1[[#This Row],[Year]])</f>
        <v>September,2015</v>
      </c>
      <c r="E100">
        <v>124.6</v>
      </c>
      <c r="F100">
        <v>130.4</v>
      </c>
      <c r="G100">
        <v>118.7</v>
      </c>
      <c r="H100">
        <v>128.9</v>
      </c>
      <c r="I100">
        <v>111.9</v>
      </c>
      <c r="J100">
        <v>128.4</v>
      </c>
      <c r="K100">
        <v>162.19999999999999</v>
      </c>
      <c r="L100">
        <v>150</v>
      </c>
      <c r="M100">
        <v>90.4</v>
      </c>
      <c r="N100">
        <v>128.4</v>
      </c>
      <c r="O100">
        <v>120.7</v>
      </c>
      <c r="P100">
        <v>132.5</v>
      </c>
      <c r="Q100" s="3">
        <v>131.19999999999999</v>
      </c>
      <c r="R100" s="7">
        <v>132</v>
      </c>
      <c r="S100">
        <v>127.9</v>
      </c>
      <c r="T100">
        <v>123.4</v>
      </c>
      <c r="U100" s="5">
        <v>127.2</v>
      </c>
      <c r="V100" s="6">
        <v>121.6</v>
      </c>
      <c r="W100" s="4">
        <v>120.4</v>
      </c>
      <c r="X100">
        <v>122.6</v>
      </c>
      <c r="Y100">
        <v>119.8</v>
      </c>
      <c r="Z100">
        <v>111.3</v>
      </c>
      <c r="AA100">
        <v>118.3</v>
      </c>
      <c r="AB100">
        <v>125.7</v>
      </c>
      <c r="AC100">
        <v>113.4</v>
      </c>
      <c r="AD100" s="7">
        <v>117.5</v>
      </c>
      <c r="AE100">
        <v>125.4</v>
      </c>
    </row>
    <row r="101" spans="1:31" x14ac:dyDescent="0.3">
      <c r="A101" t="s">
        <v>30</v>
      </c>
      <c r="B101">
        <v>2015</v>
      </c>
      <c r="C101" t="s">
        <v>43</v>
      </c>
      <c r="D101" s="10" t="str">
        <f xml:space="preserve"> _xlfn.CONCAT(Table1[[#This Row],[Month]],",",Table1[[#This Row],[Year]])</f>
        <v>October,2015</v>
      </c>
      <c r="E101">
        <v>125.6</v>
      </c>
      <c r="F101">
        <v>130.4</v>
      </c>
      <c r="G101">
        <v>120.8</v>
      </c>
      <c r="H101">
        <v>129.4</v>
      </c>
      <c r="I101">
        <v>115.8</v>
      </c>
      <c r="J101">
        <v>133.19999999999999</v>
      </c>
      <c r="K101">
        <v>157.69999999999999</v>
      </c>
      <c r="L101">
        <v>154.19999999999999</v>
      </c>
      <c r="M101">
        <v>93.7</v>
      </c>
      <c r="N101">
        <v>126.6</v>
      </c>
      <c r="O101">
        <v>122.3</v>
      </c>
      <c r="P101">
        <v>133.1</v>
      </c>
      <c r="Q101" s="3">
        <v>131.80000000000001</v>
      </c>
      <c r="R101" s="7">
        <v>131.5</v>
      </c>
      <c r="S101">
        <v>131.1</v>
      </c>
      <c r="T101">
        <v>127.3</v>
      </c>
      <c r="U101" s="5">
        <v>130.6</v>
      </c>
      <c r="V101" s="6" t="s">
        <v>32</v>
      </c>
      <c r="W101" s="4">
        <v>124.4</v>
      </c>
      <c r="X101">
        <v>125.1</v>
      </c>
      <c r="Y101">
        <v>122</v>
      </c>
      <c r="Z101">
        <v>113.8</v>
      </c>
      <c r="AA101">
        <v>120.1</v>
      </c>
      <c r="AB101">
        <v>125.1</v>
      </c>
      <c r="AC101">
        <v>114.2</v>
      </c>
      <c r="AD101" s="7">
        <v>119.2</v>
      </c>
      <c r="AE101">
        <v>127.7</v>
      </c>
    </row>
    <row r="102" spans="1:31" x14ac:dyDescent="0.3">
      <c r="A102" t="s">
        <v>33</v>
      </c>
      <c r="B102">
        <v>2015</v>
      </c>
      <c r="C102" t="s">
        <v>43</v>
      </c>
      <c r="D102" s="10" t="str">
        <f xml:space="preserve"> _xlfn.CONCAT(Table1[[#This Row],[Month]],",",Table1[[#This Row],[Year]])</f>
        <v>October,2015</v>
      </c>
      <c r="E102">
        <v>123.6</v>
      </c>
      <c r="F102">
        <v>128.6</v>
      </c>
      <c r="G102">
        <v>115.9</v>
      </c>
      <c r="H102">
        <v>128.5</v>
      </c>
      <c r="I102">
        <v>109</v>
      </c>
      <c r="J102">
        <v>124.1</v>
      </c>
      <c r="K102">
        <v>165.8</v>
      </c>
      <c r="L102">
        <v>187.2</v>
      </c>
      <c r="M102">
        <v>89.4</v>
      </c>
      <c r="N102">
        <v>135.80000000000001</v>
      </c>
      <c r="O102">
        <v>119.4</v>
      </c>
      <c r="P102">
        <v>132.9</v>
      </c>
      <c r="Q102" s="3">
        <v>132.6</v>
      </c>
      <c r="R102" s="7">
        <v>135.30000000000001</v>
      </c>
      <c r="S102">
        <v>124.4</v>
      </c>
      <c r="T102">
        <v>118.8</v>
      </c>
      <c r="U102" s="5">
        <v>123.6</v>
      </c>
      <c r="V102" s="6">
        <v>122.4</v>
      </c>
      <c r="W102" s="4">
        <v>114.9</v>
      </c>
      <c r="X102">
        <v>120.7</v>
      </c>
      <c r="Y102">
        <v>117.7</v>
      </c>
      <c r="Z102">
        <v>109.3</v>
      </c>
      <c r="AA102">
        <v>117.7</v>
      </c>
      <c r="AB102">
        <v>126.5</v>
      </c>
      <c r="AC102">
        <v>113.5</v>
      </c>
      <c r="AD102" s="7">
        <v>116.5</v>
      </c>
      <c r="AE102">
        <v>124.2</v>
      </c>
    </row>
    <row r="103" spans="1:31" x14ac:dyDescent="0.3">
      <c r="A103" t="s">
        <v>34</v>
      </c>
      <c r="B103">
        <v>2015</v>
      </c>
      <c r="C103" t="s">
        <v>43</v>
      </c>
      <c r="D103" s="10" t="str">
        <f xml:space="preserve"> _xlfn.CONCAT(Table1[[#This Row],[Month]],",",Table1[[#This Row],[Year]])</f>
        <v>October,2015</v>
      </c>
      <c r="E103">
        <v>125</v>
      </c>
      <c r="F103">
        <v>129.80000000000001</v>
      </c>
      <c r="G103">
        <v>118.9</v>
      </c>
      <c r="H103">
        <v>129.1</v>
      </c>
      <c r="I103">
        <v>113.3</v>
      </c>
      <c r="J103">
        <v>129</v>
      </c>
      <c r="K103">
        <v>160.4</v>
      </c>
      <c r="L103">
        <v>165.3</v>
      </c>
      <c r="M103">
        <v>92.3</v>
      </c>
      <c r="N103">
        <v>129.69999999999999</v>
      </c>
      <c r="O103">
        <v>121.1</v>
      </c>
      <c r="P103">
        <v>133</v>
      </c>
      <c r="Q103" s="3">
        <v>132.1</v>
      </c>
      <c r="R103" s="7">
        <v>132.5</v>
      </c>
      <c r="S103">
        <v>128.5</v>
      </c>
      <c r="T103">
        <v>123.8</v>
      </c>
      <c r="U103" s="5">
        <v>127.8</v>
      </c>
      <c r="V103" s="6">
        <v>122.4</v>
      </c>
      <c r="W103" s="4">
        <v>120.8</v>
      </c>
      <c r="X103">
        <v>123</v>
      </c>
      <c r="Y103">
        <v>120.4</v>
      </c>
      <c r="Z103">
        <v>111.4</v>
      </c>
      <c r="AA103">
        <v>118.7</v>
      </c>
      <c r="AB103">
        <v>125.9</v>
      </c>
      <c r="AC103">
        <v>113.9</v>
      </c>
      <c r="AD103" s="7">
        <v>117.9</v>
      </c>
      <c r="AE103">
        <v>126.1</v>
      </c>
    </row>
    <row r="104" spans="1:31" x14ac:dyDescent="0.3">
      <c r="A104" t="s">
        <v>30</v>
      </c>
      <c r="B104">
        <v>2015</v>
      </c>
      <c r="C104" t="s">
        <v>45</v>
      </c>
      <c r="D104" s="10" t="str">
        <f xml:space="preserve"> _xlfn.CONCAT(Table1[[#This Row],[Month]],",",Table1[[#This Row],[Year]])</f>
        <v>November,2015</v>
      </c>
      <c r="E104">
        <v>126.1</v>
      </c>
      <c r="F104">
        <v>130.6</v>
      </c>
      <c r="G104">
        <v>121.7</v>
      </c>
      <c r="H104">
        <v>129.5</v>
      </c>
      <c r="I104">
        <v>117.8</v>
      </c>
      <c r="J104">
        <v>132.1</v>
      </c>
      <c r="K104">
        <v>155.19999999999999</v>
      </c>
      <c r="L104">
        <v>160.80000000000001</v>
      </c>
      <c r="M104">
        <v>94.5</v>
      </c>
      <c r="N104">
        <v>128.30000000000001</v>
      </c>
      <c r="O104">
        <v>123.1</v>
      </c>
      <c r="P104">
        <v>134.19999999999999</v>
      </c>
      <c r="Q104" s="3">
        <v>132.4</v>
      </c>
      <c r="R104" s="7">
        <v>132.19999999999999</v>
      </c>
      <c r="S104">
        <v>132.1</v>
      </c>
      <c r="T104">
        <v>128.19999999999999</v>
      </c>
      <c r="U104" s="5">
        <v>131.5</v>
      </c>
      <c r="V104" s="6" t="s">
        <v>32</v>
      </c>
      <c r="W104" s="4">
        <v>125.6</v>
      </c>
      <c r="X104">
        <v>125.6</v>
      </c>
      <c r="Y104">
        <v>122.6</v>
      </c>
      <c r="Z104">
        <v>114</v>
      </c>
      <c r="AA104">
        <v>120.9</v>
      </c>
      <c r="AB104">
        <v>125.8</v>
      </c>
      <c r="AC104">
        <v>114.2</v>
      </c>
      <c r="AD104" s="7">
        <v>119.6</v>
      </c>
      <c r="AE104">
        <v>128.30000000000001</v>
      </c>
    </row>
    <row r="105" spans="1:31" x14ac:dyDescent="0.3">
      <c r="A105" t="s">
        <v>33</v>
      </c>
      <c r="B105">
        <v>2015</v>
      </c>
      <c r="C105" t="s">
        <v>45</v>
      </c>
      <c r="D105" s="10" t="str">
        <f xml:space="preserve"> _xlfn.CONCAT(Table1[[#This Row],[Month]],",",Table1[[#This Row],[Year]])</f>
        <v>November,2015</v>
      </c>
      <c r="E105">
        <v>124</v>
      </c>
      <c r="F105">
        <v>129.80000000000001</v>
      </c>
      <c r="G105">
        <v>121.5</v>
      </c>
      <c r="H105">
        <v>128.6</v>
      </c>
      <c r="I105">
        <v>110</v>
      </c>
      <c r="J105">
        <v>123.7</v>
      </c>
      <c r="K105">
        <v>164.6</v>
      </c>
      <c r="L105">
        <v>191.6</v>
      </c>
      <c r="M105">
        <v>90.8</v>
      </c>
      <c r="N105">
        <v>137.1</v>
      </c>
      <c r="O105">
        <v>119.8</v>
      </c>
      <c r="P105">
        <v>133.69999999999999</v>
      </c>
      <c r="Q105" s="3">
        <v>133.30000000000001</v>
      </c>
      <c r="R105" s="7">
        <v>137.6</v>
      </c>
      <c r="S105">
        <v>125</v>
      </c>
      <c r="T105">
        <v>119.3</v>
      </c>
      <c r="U105" s="5">
        <v>124.2</v>
      </c>
      <c r="V105" s="6">
        <v>122.9</v>
      </c>
      <c r="W105" s="4">
        <v>115.1</v>
      </c>
      <c r="X105">
        <v>121</v>
      </c>
      <c r="Y105">
        <v>118.1</v>
      </c>
      <c r="Z105">
        <v>109.3</v>
      </c>
      <c r="AA105">
        <v>117.9</v>
      </c>
      <c r="AB105">
        <v>126.6</v>
      </c>
      <c r="AC105">
        <v>113.3</v>
      </c>
      <c r="AD105" s="7">
        <v>116.6</v>
      </c>
      <c r="AE105">
        <v>124.6</v>
      </c>
    </row>
    <row r="106" spans="1:31" x14ac:dyDescent="0.3">
      <c r="A106" t="s">
        <v>34</v>
      </c>
      <c r="B106">
        <v>2015</v>
      </c>
      <c r="C106" t="s">
        <v>45</v>
      </c>
      <c r="D106" s="10" t="str">
        <f xml:space="preserve"> _xlfn.CONCAT(Table1[[#This Row],[Month]],",",Table1[[#This Row],[Year]])</f>
        <v>November,2015</v>
      </c>
      <c r="E106">
        <v>125.4</v>
      </c>
      <c r="F106">
        <v>130.30000000000001</v>
      </c>
      <c r="G106">
        <v>121.6</v>
      </c>
      <c r="H106">
        <v>129.19999999999999</v>
      </c>
      <c r="I106">
        <v>114.9</v>
      </c>
      <c r="J106">
        <v>128.19999999999999</v>
      </c>
      <c r="K106">
        <v>158.4</v>
      </c>
      <c r="L106">
        <v>171.2</v>
      </c>
      <c r="M106">
        <v>93.3</v>
      </c>
      <c r="N106">
        <v>131.19999999999999</v>
      </c>
      <c r="O106">
        <v>121.7</v>
      </c>
      <c r="P106">
        <v>134</v>
      </c>
      <c r="Q106" s="3">
        <v>132.69999999999999</v>
      </c>
      <c r="R106" s="7">
        <v>133.6</v>
      </c>
      <c r="S106">
        <v>129.30000000000001</v>
      </c>
      <c r="T106">
        <v>124.5</v>
      </c>
      <c r="U106" s="5">
        <v>128.6</v>
      </c>
      <c r="V106" s="6">
        <v>122.9</v>
      </c>
      <c r="W106" s="4">
        <v>121.6</v>
      </c>
      <c r="X106">
        <v>123.4</v>
      </c>
      <c r="Y106">
        <v>120.9</v>
      </c>
      <c r="Z106">
        <v>111.5</v>
      </c>
      <c r="AA106">
        <v>119.2</v>
      </c>
      <c r="AB106">
        <v>126.3</v>
      </c>
      <c r="AC106">
        <v>113.8</v>
      </c>
      <c r="AD106" s="7">
        <v>118.1</v>
      </c>
      <c r="AE106">
        <v>126.6</v>
      </c>
    </row>
    <row r="107" spans="1:31" x14ac:dyDescent="0.3">
      <c r="A107" t="s">
        <v>30</v>
      </c>
      <c r="B107">
        <v>2015</v>
      </c>
      <c r="C107" t="s">
        <v>46</v>
      </c>
      <c r="D107" s="10" t="str">
        <f xml:space="preserve"> _xlfn.CONCAT(Table1[[#This Row],[Month]],",",Table1[[#This Row],[Year]])</f>
        <v>December,2015</v>
      </c>
      <c r="E107">
        <v>126.3</v>
      </c>
      <c r="F107">
        <v>131.30000000000001</v>
      </c>
      <c r="G107">
        <v>123.3</v>
      </c>
      <c r="H107">
        <v>129.80000000000001</v>
      </c>
      <c r="I107">
        <v>118.3</v>
      </c>
      <c r="J107">
        <v>131.6</v>
      </c>
      <c r="K107">
        <v>145.5</v>
      </c>
      <c r="L107">
        <v>162.1</v>
      </c>
      <c r="M107">
        <v>95.4</v>
      </c>
      <c r="N107">
        <v>128.9</v>
      </c>
      <c r="O107">
        <v>123.3</v>
      </c>
      <c r="P107">
        <v>135.1</v>
      </c>
      <c r="Q107" s="3">
        <v>131.4</v>
      </c>
      <c r="R107" s="7">
        <v>133.1</v>
      </c>
      <c r="S107">
        <v>132.5</v>
      </c>
      <c r="T107">
        <v>128.5</v>
      </c>
      <c r="U107" s="5">
        <v>131.9</v>
      </c>
      <c r="V107" s="6" t="s">
        <v>32</v>
      </c>
      <c r="W107" s="4">
        <v>125.7</v>
      </c>
      <c r="X107">
        <v>126</v>
      </c>
      <c r="Y107">
        <v>123.1</v>
      </c>
      <c r="Z107">
        <v>114</v>
      </c>
      <c r="AA107">
        <v>121.6</v>
      </c>
      <c r="AB107">
        <v>125.6</v>
      </c>
      <c r="AC107">
        <v>114.1</v>
      </c>
      <c r="AD107" s="7">
        <v>119.8</v>
      </c>
      <c r="AE107">
        <v>127.9</v>
      </c>
    </row>
    <row r="108" spans="1:31" x14ac:dyDescent="0.3">
      <c r="A108" t="s">
        <v>33</v>
      </c>
      <c r="B108">
        <v>2015</v>
      </c>
      <c r="C108" t="s">
        <v>46</v>
      </c>
      <c r="D108" s="10" t="str">
        <f xml:space="preserve"> _xlfn.CONCAT(Table1[[#This Row],[Month]],",",Table1[[#This Row],[Year]])</f>
        <v>December,2015</v>
      </c>
      <c r="E108">
        <v>124.3</v>
      </c>
      <c r="F108">
        <v>131.69999999999999</v>
      </c>
      <c r="G108">
        <v>127.1</v>
      </c>
      <c r="H108">
        <v>128.6</v>
      </c>
      <c r="I108">
        <v>110</v>
      </c>
      <c r="J108">
        <v>120.8</v>
      </c>
      <c r="K108">
        <v>149</v>
      </c>
      <c r="L108">
        <v>190.1</v>
      </c>
      <c r="M108">
        <v>92.7</v>
      </c>
      <c r="N108">
        <v>138.6</v>
      </c>
      <c r="O108">
        <v>120.2</v>
      </c>
      <c r="P108">
        <v>134.19999999999999</v>
      </c>
      <c r="Q108" s="3">
        <v>131.5</v>
      </c>
      <c r="R108" s="7">
        <v>138.19999999999999</v>
      </c>
      <c r="S108">
        <v>125.4</v>
      </c>
      <c r="T108">
        <v>119.5</v>
      </c>
      <c r="U108" s="5">
        <v>124.5</v>
      </c>
      <c r="V108" s="6">
        <v>122.4</v>
      </c>
      <c r="W108" s="4">
        <v>116</v>
      </c>
      <c r="X108">
        <v>121</v>
      </c>
      <c r="Y108">
        <v>118.6</v>
      </c>
      <c r="Z108">
        <v>109.3</v>
      </c>
      <c r="AA108">
        <v>118.1</v>
      </c>
      <c r="AB108">
        <v>126.6</v>
      </c>
      <c r="AC108">
        <v>113.2</v>
      </c>
      <c r="AD108" s="7">
        <v>116.7</v>
      </c>
      <c r="AE108">
        <v>124</v>
      </c>
    </row>
    <row r="109" spans="1:31" x14ac:dyDescent="0.3">
      <c r="A109" t="s">
        <v>34</v>
      </c>
      <c r="B109">
        <v>2015</v>
      </c>
      <c r="C109" t="s">
        <v>46</v>
      </c>
      <c r="D109" s="10" t="str">
        <f xml:space="preserve"> _xlfn.CONCAT(Table1[[#This Row],[Month]],",",Table1[[#This Row],[Year]])</f>
        <v>December,2015</v>
      </c>
      <c r="E109">
        <v>125.7</v>
      </c>
      <c r="F109">
        <v>131.4</v>
      </c>
      <c r="G109">
        <v>124.8</v>
      </c>
      <c r="H109">
        <v>129.4</v>
      </c>
      <c r="I109">
        <v>115.3</v>
      </c>
      <c r="J109">
        <v>126.6</v>
      </c>
      <c r="K109">
        <v>146.69999999999999</v>
      </c>
      <c r="L109">
        <v>171.5</v>
      </c>
      <c r="M109">
        <v>94.5</v>
      </c>
      <c r="N109">
        <v>132.1</v>
      </c>
      <c r="O109">
        <v>122</v>
      </c>
      <c r="P109">
        <v>134.69999999999999</v>
      </c>
      <c r="Q109" s="3">
        <v>131.4</v>
      </c>
      <c r="R109" s="7">
        <v>134.5</v>
      </c>
      <c r="S109">
        <v>129.69999999999999</v>
      </c>
      <c r="T109">
        <v>124.8</v>
      </c>
      <c r="U109" s="5">
        <v>129</v>
      </c>
      <c r="V109" s="6">
        <v>122.4</v>
      </c>
      <c r="W109" s="4">
        <v>122</v>
      </c>
      <c r="X109">
        <v>123.6</v>
      </c>
      <c r="Y109">
        <v>121.4</v>
      </c>
      <c r="Z109">
        <v>111.5</v>
      </c>
      <c r="AA109">
        <v>119.6</v>
      </c>
      <c r="AB109">
        <v>126.2</v>
      </c>
      <c r="AC109">
        <v>113.7</v>
      </c>
      <c r="AD109" s="7">
        <v>118.3</v>
      </c>
      <c r="AE109">
        <v>126.1</v>
      </c>
    </row>
    <row r="110" spans="1:31" x14ac:dyDescent="0.3">
      <c r="A110" t="s">
        <v>30</v>
      </c>
      <c r="B110">
        <v>2016</v>
      </c>
      <c r="C110" t="s">
        <v>31</v>
      </c>
      <c r="D110" s="10" t="str">
        <f xml:space="preserve"> _xlfn.CONCAT(Table1[[#This Row],[Month]],",",Table1[[#This Row],[Year]])</f>
        <v>January,2016</v>
      </c>
      <c r="E110">
        <v>126.8</v>
      </c>
      <c r="F110">
        <v>133.19999999999999</v>
      </c>
      <c r="G110">
        <v>126.5</v>
      </c>
      <c r="H110">
        <v>130.30000000000001</v>
      </c>
      <c r="I110">
        <v>118.9</v>
      </c>
      <c r="J110">
        <v>131.6</v>
      </c>
      <c r="K110">
        <v>140.1</v>
      </c>
      <c r="L110">
        <v>163.80000000000001</v>
      </c>
      <c r="M110">
        <v>97.7</v>
      </c>
      <c r="N110">
        <v>129.6</v>
      </c>
      <c r="O110">
        <v>124.3</v>
      </c>
      <c r="P110">
        <v>135.9</v>
      </c>
      <c r="Q110" s="3">
        <v>131.4</v>
      </c>
      <c r="R110" s="7">
        <v>133.6</v>
      </c>
      <c r="S110">
        <v>133.19999999999999</v>
      </c>
      <c r="T110">
        <v>128.9</v>
      </c>
      <c r="U110" s="5">
        <v>132.6</v>
      </c>
      <c r="V110" s="6" t="s">
        <v>32</v>
      </c>
      <c r="W110" s="4">
        <v>126.2</v>
      </c>
      <c r="X110">
        <v>126.6</v>
      </c>
      <c r="Y110">
        <v>123.7</v>
      </c>
      <c r="Z110">
        <v>113.6</v>
      </c>
      <c r="AA110">
        <v>121.4</v>
      </c>
      <c r="AB110">
        <v>126.2</v>
      </c>
      <c r="AC110">
        <v>114.9</v>
      </c>
      <c r="AD110" s="7">
        <v>120.1</v>
      </c>
      <c r="AE110">
        <v>128.1</v>
      </c>
    </row>
    <row r="111" spans="1:31" x14ac:dyDescent="0.3">
      <c r="A111" t="s">
        <v>33</v>
      </c>
      <c r="B111">
        <v>2016</v>
      </c>
      <c r="C111" t="s">
        <v>31</v>
      </c>
      <c r="D111" s="10" t="str">
        <f xml:space="preserve"> _xlfn.CONCAT(Table1[[#This Row],[Month]],",",Table1[[#This Row],[Year]])</f>
        <v>January,2016</v>
      </c>
      <c r="E111">
        <v>124.7</v>
      </c>
      <c r="F111">
        <v>135.9</v>
      </c>
      <c r="G111">
        <v>132</v>
      </c>
      <c r="H111">
        <v>129.19999999999999</v>
      </c>
      <c r="I111">
        <v>109.7</v>
      </c>
      <c r="J111">
        <v>119</v>
      </c>
      <c r="K111">
        <v>144.1</v>
      </c>
      <c r="L111">
        <v>184.2</v>
      </c>
      <c r="M111">
        <v>96.7</v>
      </c>
      <c r="N111">
        <v>139.5</v>
      </c>
      <c r="O111">
        <v>120.5</v>
      </c>
      <c r="P111">
        <v>134.69999999999999</v>
      </c>
      <c r="Q111" s="3">
        <v>131.19999999999999</v>
      </c>
      <c r="R111" s="7">
        <v>139.5</v>
      </c>
      <c r="S111">
        <v>125.8</v>
      </c>
      <c r="T111">
        <v>119.8</v>
      </c>
      <c r="U111" s="5">
        <v>124.9</v>
      </c>
      <c r="V111" s="6">
        <v>123.4</v>
      </c>
      <c r="W111" s="4">
        <v>116.9</v>
      </c>
      <c r="X111">
        <v>121.6</v>
      </c>
      <c r="Y111">
        <v>119.1</v>
      </c>
      <c r="Z111">
        <v>108.9</v>
      </c>
      <c r="AA111">
        <v>118.5</v>
      </c>
      <c r="AB111">
        <v>126.4</v>
      </c>
      <c r="AC111">
        <v>114</v>
      </c>
      <c r="AD111" s="7">
        <v>116.8</v>
      </c>
      <c r="AE111">
        <v>124.2</v>
      </c>
    </row>
    <row r="112" spans="1:31" x14ac:dyDescent="0.3">
      <c r="A112" t="s">
        <v>34</v>
      </c>
      <c r="B112">
        <v>2016</v>
      </c>
      <c r="C112" t="s">
        <v>31</v>
      </c>
      <c r="D112" s="10" t="str">
        <f xml:space="preserve"> _xlfn.CONCAT(Table1[[#This Row],[Month]],",",Table1[[#This Row],[Year]])</f>
        <v>January,2016</v>
      </c>
      <c r="E112">
        <v>126.1</v>
      </c>
      <c r="F112">
        <v>134.1</v>
      </c>
      <c r="G112">
        <v>128.6</v>
      </c>
      <c r="H112">
        <v>129.9</v>
      </c>
      <c r="I112">
        <v>115.5</v>
      </c>
      <c r="J112">
        <v>125.7</v>
      </c>
      <c r="K112">
        <v>141.5</v>
      </c>
      <c r="L112">
        <v>170.7</v>
      </c>
      <c r="M112">
        <v>97.4</v>
      </c>
      <c r="N112">
        <v>132.9</v>
      </c>
      <c r="O112">
        <v>122.7</v>
      </c>
      <c r="P112">
        <v>135.30000000000001</v>
      </c>
      <c r="Q112" s="3">
        <v>131.30000000000001</v>
      </c>
      <c r="R112" s="7">
        <v>135.19999999999999</v>
      </c>
      <c r="S112">
        <v>130.30000000000001</v>
      </c>
      <c r="T112">
        <v>125.1</v>
      </c>
      <c r="U112" s="5">
        <v>129.5</v>
      </c>
      <c r="V112" s="6">
        <v>123.4</v>
      </c>
      <c r="W112" s="4">
        <v>122.7</v>
      </c>
      <c r="X112">
        <v>124.2</v>
      </c>
      <c r="Y112">
        <v>122</v>
      </c>
      <c r="Z112">
        <v>111.1</v>
      </c>
      <c r="AA112">
        <v>119.8</v>
      </c>
      <c r="AB112">
        <v>126.3</v>
      </c>
      <c r="AC112">
        <v>114.5</v>
      </c>
      <c r="AD112" s="7">
        <v>118.5</v>
      </c>
      <c r="AE112">
        <v>126.3</v>
      </c>
    </row>
    <row r="113" spans="1:31" x14ac:dyDescent="0.3">
      <c r="A113" t="s">
        <v>30</v>
      </c>
      <c r="B113">
        <v>2016</v>
      </c>
      <c r="C113" t="s">
        <v>35</v>
      </c>
      <c r="D113" s="10" t="str">
        <f xml:space="preserve"> _xlfn.CONCAT(Table1[[#This Row],[Month]],",",Table1[[#This Row],[Year]])</f>
        <v>February,2016</v>
      </c>
      <c r="E113">
        <v>127.1</v>
      </c>
      <c r="F113">
        <v>133.69999999999999</v>
      </c>
      <c r="G113">
        <v>127.7</v>
      </c>
      <c r="H113">
        <v>130.69999999999999</v>
      </c>
      <c r="I113">
        <v>118.5</v>
      </c>
      <c r="J113">
        <v>130.4</v>
      </c>
      <c r="K113">
        <v>130.9</v>
      </c>
      <c r="L113">
        <v>162.80000000000001</v>
      </c>
      <c r="M113">
        <v>98.7</v>
      </c>
      <c r="N113">
        <v>130.6</v>
      </c>
      <c r="O113">
        <v>124.8</v>
      </c>
      <c r="P113">
        <v>136.4</v>
      </c>
      <c r="Q113" s="3">
        <v>130.30000000000001</v>
      </c>
      <c r="R113" s="7">
        <v>134.4</v>
      </c>
      <c r="S113">
        <v>133.9</v>
      </c>
      <c r="T113">
        <v>129.80000000000001</v>
      </c>
      <c r="U113" s="5">
        <v>133.4</v>
      </c>
      <c r="V113" s="6" t="s">
        <v>32</v>
      </c>
      <c r="W113" s="4">
        <v>127.5</v>
      </c>
      <c r="X113">
        <v>127.1</v>
      </c>
      <c r="Y113">
        <v>124.3</v>
      </c>
      <c r="Z113">
        <v>113.9</v>
      </c>
      <c r="AA113">
        <v>122.3</v>
      </c>
      <c r="AB113">
        <v>127.1</v>
      </c>
      <c r="AC113">
        <v>116.8</v>
      </c>
      <c r="AD113" s="7">
        <v>120.9</v>
      </c>
      <c r="AE113">
        <v>127.9</v>
      </c>
    </row>
    <row r="114" spans="1:31" x14ac:dyDescent="0.3">
      <c r="A114" t="s">
        <v>33</v>
      </c>
      <c r="B114">
        <v>2016</v>
      </c>
      <c r="C114" t="s">
        <v>35</v>
      </c>
      <c r="D114" s="10" t="str">
        <f xml:space="preserve"> _xlfn.CONCAT(Table1[[#This Row],[Month]],",",Table1[[#This Row],[Year]])</f>
        <v>February,2016</v>
      </c>
      <c r="E114">
        <v>124.8</v>
      </c>
      <c r="F114">
        <v>135.1</v>
      </c>
      <c r="G114">
        <v>130.30000000000001</v>
      </c>
      <c r="H114">
        <v>129.6</v>
      </c>
      <c r="I114">
        <v>108.4</v>
      </c>
      <c r="J114">
        <v>118.6</v>
      </c>
      <c r="K114">
        <v>129.19999999999999</v>
      </c>
      <c r="L114">
        <v>176.4</v>
      </c>
      <c r="M114">
        <v>99.1</v>
      </c>
      <c r="N114">
        <v>139.69999999999999</v>
      </c>
      <c r="O114">
        <v>120.6</v>
      </c>
      <c r="P114">
        <v>135.19999999999999</v>
      </c>
      <c r="Q114" s="3">
        <v>129.1</v>
      </c>
      <c r="R114" s="7">
        <v>140</v>
      </c>
      <c r="S114">
        <v>126.2</v>
      </c>
      <c r="T114">
        <v>120.1</v>
      </c>
      <c r="U114" s="5">
        <v>125.3</v>
      </c>
      <c r="V114" s="6">
        <v>124.4</v>
      </c>
      <c r="W114" s="4">
        <v>116</v>
      </c>
      <c r="X114">
        <v>121.8</v>
      </c>
      <c r="Y114">
        <v>119.5</v>
      </c>
      <c r="Z114">
        <v>109.1</v>
      </c>
      <c r="AA114">
        <v>118.8</v>
      </c>
      <c r="AB114">
        <v>126.3</v>
      </c>
      <c r="AC114">
        <v>116.2</v>
      </c>
      <c r="AD114" s="7">
        <v>117.2</v>
      </c>
      <c r="AE114">
        <v>123.8</v>
      </c>
    </row>
    <row r="115" spans="1:31" x14ac:dyDescent="0.3">
      <c r="A115" t="s">
        <v>34</v>
      </c>
      <c r="B115">
        <v>2016</v>
      </c>
      <c r="C115" t="s">
        <v>35</v>
      </c>
      <c r="D115" s="10" t="str">
        <f xml:space="preserve"> _xlfn.CONCAT(Table1[[#This Row],[Month]],",",Table1[[#This Row],[Year]])</f>
        <v>February,2016</v>
      </c>
      <c r="E115">
        <v>126.4</v>
      </c>
      <c r="F115">
        <v>134.19999999999999</v>
      </c>
      <c r="G115">
        <v>128.69999999999999</v>
      </c>
      <c r="H115">
        <v>130.30000000000001</v>
      </c>
      <c r="I115">
        <v>114.8</v>
      </c>
      <c r="J115">
        <v>124.9</v>
      </c>
      <c r="K115">
        <v>130.30000000000001</v>
      </c>
      <c r="L115">
        <v>167.4</v>
      </c>
      <c r="M115">
        <v>98.8</v>
      </c>
      <c r="N115">
        <v>133.6</v>
      </c>
      <c r="O115">
        <v>123</v>
      </c>
      <c r="P115">
        <v>135.80000000000001</v>
      </c>
      <c r="Q115" s="3">
        <v>129.9</v>
      </c>
      <c r="R115" s="7">
        <v>135.9</v>
      </c>
      <c r="S115">
        <v>130.9</v>
      </c>
      <c r="T115">
        <v>125.8</v>
      </c>
      <c r="U115" s="5">
        <v>130.19999999999999</v>
      </c>
      <c r="V115" s="6">
        <v>124.4</v>
      </c>
      <c r="W115" s="4">
        <v>123.1</v>
      </c>
      <c r="X115">
        <v>124.6</v>
      </c>
      <c r="Y115">
        <v>122.5</v>
      </c>
      <c r="Z115">
        <v>111.4</v>
      </c>
      <c r="AA115">
        <v>120.3</v>
      </c>
      <c r="AB115">
        <v>126.6</v>
      </c>
      <c r="AC115">
        <v>116.6</v>
      </c>
      <c r="AD115" s="7">
        <v>119.1</v>
      </c>
      <c r="AE115">
        <v>126</v>
      </c>
    </row>
    <row r="116" spans="1:31" x14ac:dyDescent="0.3">
      <c r="A116" t="s">
        <v>30</v>
      </c>
      <c r="B116">
        <v>2016</v>
      </c>
      <c r="C116" t="s">
        <v>36</v>
      </c>
      <c r="D116" s="10" t="str">
        <f xml:space="preserve"> _xlfn.CONCAT(Table1[[#This Row],[Month]],",",Table1[[#This Row],[Year]])</f>
        <v>March,2016</v>
      </c>
      <c r="E116">
        <v>127.3</v>
      </c>
      <c r="F116">
        <v>134.4</v>
      </c>
      <c r="G116">
        <v>125.1</v>
      </c>
      <c r="H116">
        <v>130.5</v>
      </c>
      <c r="I116">
        <v>118.3</v>
      </c>
      <c r="J116">
        <v>131.69999999999999</v>
      </c>
      <c r="K116">
        <v>130.69999999999999</v>
      </c>
      <c r="L116">
        <v>161.19999999999999</v>
      </c>
      <c r="M116">
        <v>100.4</v>
      </c>
      <c r="N116">
        <v>130.80000000000001</v>
      </c>
      <c r="O116">
        <v>124.9</v>
      </c>
      <c r="P116">
        <v>137</v>
      </c>
      <c r="Q116" s="3">
        <v>130.4</v>
      </c>
      <c r="R116" s="7">
        <v>135</v>
      </c>
      <c r="S116">
        <v>134.4</v>
      </c>
      <c r="T116">
        <v>130.19999999999999</v>
      </c>
      <c r="U116" s="5">
        <v>133.80000000000001</v>
      </c>
      <c r="V116" s="6" t="s">
        <v>32</v>
      </c>
      <c r="W116" s="4">
        <v>127</v>
      </c>
      <c r="X116">
        <v>127.7</v>
      </c>
      <c r="Y116">
        <v>124.8</v>
      </c>
      <c r="Z116">
        <v>113.6</v>
      </c>
      <c r="AA116">
        <v>122.5</v>
      </c>
      <c r="AB116">
        <v>127.5</v>
      </c>
      <c r="AC116">
        <v>117.4</v>
      </c>
      <c r="AD116" s="7">
        <v>121.1</v>
      </c>
      <c r="AE116">
        <v>128</v>
      </c>
    </row>
    <row r="117" spans="1:31" x14ac:dyDescent="0.3">
      <c r="A117" t="s">
        <v>33</v>
      </c>
      <c r="B117">
        <v>2016</v>
      </c>
      <c r="C117" t="s">
        <v>36</v>
      </c>
      <c r="D117" s="10" t="str">
        <f xml:space="preserve"> _xlfn.CONCAT(Table1[[#This Row],[Month]],",",Table1[[#This Row],[Year]])</f>
        <v>March,2016</v>
      </c>
      <c r="E117">
        <v>124.8</v>
      </c>
      <c r="F117">
        <v>136.30000000000001</v>
      </c>
      <c r="G117">
        <v>123.7</v>
      </c>
      <c r="H117">
        <v>129.69999999999999</v>
      </c>
      <c r="I117">
        <v>107.9</v>
      </c>
      <c r="J117">
        <v>119.9</v>
      </c>
      <c r="K117">
        <v>128.1</v>
      </c>
      <c r="L117">
        <v>170.3</v>
      </c>
      <c r="M117">
        <v>101.8</v>
      </c>
      <c r="N117">
        <v>140.1</v>
      </c>
      <c r="O117">
        <v>120.7</v>
      </c>
      <c r="P117">
        <v>135.4</v>
      </c>
      <c r="Q117" s="3">
        <v>128.9</v>
      </c>
      <c r="R117" s="7">
        <v>140.6</v>
      </c>
      <c r="S117">
        <v>126.4</v>
      </c>
      <c r="T117">
        <v>120.3</v>
      </c>
      <c r="U117" s="5">
        <v>125.5</v>
      </c>
      <c r="V117" s="6">
        <v>124.9</v>
      </c>
      <c r="W117" s="4">
        <v>114.8</v>
      </c>
      <c r="X117">
        <v>122.3</v>
      </c>
      <c r="Y117">
        <v>119.7</v>
      </c>
      <c r="Z117">
        <v>108.5</v>
      </c>
      <c r="AA117">
        <v>119.1</v>
      </c>
      <c r="AB117">
        <v>126.4</v>
      </c>
      <c r="AC117">
        <v>117.1</v>
      </c>
      <c r="AD117" s="7">
        <v>117.3</v>
      </c>
      <c r="AE117">
        <v>123.8</v>
      </c>
    </row>
    <row r="118" spans="1:31" x14ac:dyDescent="0.3">
      <c r="A118" t="s">
        <v>34</v>
      </c>
      <c r="B118">
        <v>2016</v>
      </c>
      <c r="C118" t="s">
        <v>36</v>
      </c>
      <c r="D118" s="10" t="str">
        <f xml:space="preserve"> _xlfn.CONCAT(Table1[[#This Row],[Month]],",",Table1[[#This Row],[Year]])</f>
        <v>March,2016</v>
      </c>
      <c r="E118">
        <v>126.5</v>
      </c>
      <c r="F118">
        <v>135.1</v>
      </c>
      <c r="G118">
        <v>124.6</v>
      </c>
      <c r="H118">
        <v>130.19999999999999</v>
      </c>
      <c r="I118">
        <v>114.5</v>
      </c>
      <c r="J118">
        <v>126.2</v>
      </c>
      <c r="K118">
        <v>129.80000000000001</v>
      </c>
      <c r="L118">
        <v>164.3</v>
      </c>
      <c r="M118">
        <v>100.9</v>
      </c>
      <c r="N118">
        <v>133.9</v>
      </c>
      <c r="O118">
        <v>123.1</v>
      </c>
      <c r="P118">
        <v>136.30000000000001</v>
      </c>
      <c r="Q118" s="3">
        <v>129.80000000000001</v>
      </c>
      <c r="R118" s="7">
        <v>136.5</v>
      </c>
      <c r="S118">
        <v>131.30000000000001</v>
      </c>
      <c r="T118">
        <v>126.1</v>
      </c>
      <c r="U118" s="5">
        <v>130.5</v>
      </c>
      <c r="V118" s="6">
        <v>124.9</v>
      </c>
      <c r="W118" s="4">
        <v>122.4</v>
      </c>
      <c r="X118">
        <v>125.1</v>
      </c>
      <c r="Y118">
        <v>122.9</v>
      </c>
      <c r="Z118">
        <v>110.9</v>
      </c>
      <c r="AA118">
        <v>120.6</v>
      </c>
      <c r="AB118">
        <v>126.9</v>
      </c>
      <c r="AC118">
        <v>117.3</v>
      </c>
      <c r="AD118" s="7">
        <v>119.3</v>
      </c>
      <c r="AE118">
        <v>126</v>
      </c>
    </row>
    <row r="119" spans="1:31" x14ac:dyDescent="0.3">
      <c r="A119" t="s">
        <v>30</v>
      </c>
      <c r="B119">
        <v>2016</v>
      </c>
      <c r="C119" t="s">
        <v>37</v>
      </c>
      <c r="D119" s="10" t="str">
        <f xml:space="preserve"> _xlfn.CONCAT(Table1[[#This Row],[Month]],",",Table1[[#This Row],[Year]])</f>
        <v>April,2016</v>
      </c>
      <c r="E119">
        <v>127.4</v>
      </c>
      <c r="F119">
        <v>135.4</v>
      </c>
      <c r="G119">
        <v>123.4</v>
      </c>
      <c r="H119">
        <v>131.30000000000001</v>
      </c>
      <c r="I119">
        <v>118.2</v>
      </c>
      <c r="J119">
        <v>138.1</v>
      </c>
      <c r="K119">
        <v>134.1</v>
      </c>
      <c r="L119">
        <v>162.69999999999999</v>
      </c>
      <c r="M119">
        <v>105</v>
      </c>
      <c r="N119">
        <v>131.4</v>
      </c>
      <c r="O119">
        <v>125.4</v>
      </c>
      <c r="P119">
        <v>137.4</v>
      </c>
      <c r="Q119" s="3">
        <v>131.80000000000001</v>
      </c>
      <c r="R119" s="7">
        <v>135.5</v>
      </c>
      <c r="S119">
        <v>135</v>
      </c>
      <c r="T119">
        <v>130.6</v>
      </c>
      <c r="U119" s="5">
        <v>134.4</v>
      </c>
      <c r="V119" s="6" t="s">
        <v>32</v>
      </c>
      <c r="W119" s="4">
        <v>127</v>
      </c>
      <c r="X119">
        <v>128</v>
      </c>
      <c r="Y119">
        <v>125.2</v>
      </c>
      <c r="Z119">
        <v>114.4</v>
      </c>
      <c r="AA119">
        <v>123.2</v>
      </c>
      <c r="AB119">
        <v>127.9</v>
      </c>
      <c r="AC119">
        <v>118.4</v>
      </c>
      <c r="AD119" s="7">
        <v>121.7</v>
      </c>
      <c r="AE119">
        <v>129</v>
      </c>
    </row>
    <row r="120" spans="1:31" x14ac:dyDescent="0.3">
      <c r="A120" t="s">
        <v>33</v>
      </c>
      <c r="B120">
        <v>2016</v>
      </c>
      <c r="C120" t="s">
        <v>37</v>
      </c>
      <c r="D120" s="10" t="str">
        <f xml:space="preserve"> _xlfn.CONCAT(Table1[[#This Row],[Month]],",",Table1[[#This Row],[Year]])</f>
        <v>April,2016</v>
      </c>
      <c r="E120">
        <v>124.9</v>
      </c>
      <c r="F120">
        <v>139.30000000000001</v>
      </c>
      <c r="G120">
        <v>119.9</v>
      </c>
      <c r="H120">
        <v>130.19999999999999</v>
      </c>
      <c r="I120">
        <v>108.9</v>
      </c>
      <c r="J120">
        <v>131.1</v>
      </c>
      <c r="K120">
        <v>136.80000000000001</v>
      </c>
      <c r="L120">
        <v>176.9</v>
      </c>
      <c r="M120">
        <v>109.1</v>
      </c>
      <c r="N120">
        <v>140.4</v>
      </c>
      <c r="O120">
        <v>121.1</v>
      </c>
      <c r="P120">
        <v>135.9</v>
      </c>
      <c r="Q120" s="3">
        <v>131.80000000000001</v>
      </c>
      <c r="R120" s="7">
        <v>141.5</v>
      </c>
      <c r="S120">
        <v>126.8</v>
      </c>
      <c r="T120">
        <v>120.5</v>
      </c>
      <c r="U120" s="5">
        <v>125.8</v>
      </c>
      <c r="V120" s="6">
        <v>125.6</v>
      </c>
      <c r="W120" s="4">
        <v>114.6</v>
      </c>
      <c r="X120">
        <v>122.8</v>
      </c>
      <c r="Y120">
        <v>120</v>
      </c>
      <c r="Z120">
        <v>110</v>
      </c>
      <c r="AA120">
        <v>119.5</v>
      </c>
      <c r="AB120">
        <v>127.6</v>
      </c>
      <c r="AC120">
        <v>117.6</v>
      </c>
      <c r="AD120" s="7">
        <v>118.2</v>
      </c>
      <c r="AE120">
        <v>125.3</v>
      </c>
    </row>
    <row r="121" spans="1:31" x14ac:dyDescent="0.3">
      <c r="A121" t="s">
        <v>34</v>
      </c>
      <c r="B121">
        <v>2016</v>
      </c>
      <c r="C121" t="s">
        <v>37</v>
      </c>
      <c r="D121" s="10" t="str">
        <f xml:space="preserve"> _xlfn.CONCAT(Table1[[#This Row],[Month]],",",Table1[[#This Row],[Year]])</f>
        <v>April,2016</v>
      </c>
      <c r="E121">
        <v>126.6</v>
      </c>
      <c r="F121">
        <v>136.80000000000001</v>
      </c>
      <c r="G121">
        <v>122</v>
      </c>
      <c r="H121">
        <v>130.9</v>
      </c>
      <c r="I121">
        <v>114.8</v>
      </c>
      <c r="J121">
        <v>134.80000000000001</v>
      </c>
      <c r="K121">
        <v>135</v>
      </c>
      <c r="L121">
        <v>167.5</v>
      </c>
      <c r="M121">
        <v>106.4</v>
      </c>
      <c r="N121">
        <v>134.4</v>
      </c>
      <c r="O121">
        <v>123.6</v>
      </c>
      <c r="P121">
        <v>136.69999999999999</v>
      </c>
      <c r="Q121" s="3">
        <v>131.80000000000001</v>
      </c>
      <c r="R121" s="7">
        <v>137.1</v>
      </c>
      <c r="S121">
        <v>131.80000000000001</v>
      </c>
      <c r="T121">
        <v>126.4</v>
      </c>
      <c r="U121" s="5">
        <v>131</v>
      </c>
      <c r="V121" s="6">
        <v>125.6</v>
      </c>
      <c r="W121" s="4">
        <v>122.3</v>
      </c>
      <c r="X121">
        <v>125.5</v>
      </c>
      <c r="Y121">
        <v>123.2</v>
      </c>
      <c r="Z121">
        <v>112.1</v>
      </c>
      <c r="AA121">
        <v>121.1</v>
      </c>
      <c r="AB121">
        <v>127.7</v>
      </c>
      <c r="AC121">
        <v>118.1</v>
      </c>
      <c r="AD121" s="7">
        <v>120</v>
      </c>
      <c r="AE121">
        <v>127.3</v>
      </c>
    </row>
    <row r="122" spans="1:31" x14ac:dyDescent="0.3">
      <c r="A122" t="s">
        <v>30</v>
      </c>
      <c r="B122">
        <v>2016</v>
      </c>
      <c r="C122" t="s">
        <v>38</v>
      </c>
      <c r="D122" s="10" t="str">
        <f xml:space="preserve"> _xlfn.CONCAT(Table1[[#This Row],[Month]],",",Table1[[#This Row],[Year]])</f>
        <v>May,2016</v>
      </c>
      <c r="E122">
        <v>127.6</v>
      </c>
      <c r="F122">
        <v>137.5</v>
      </c>
      <c r="G122">
        <v>124.4</v>
      </c>
      <c r="H122">
        <v>132.4</v>
      </c>
      <c r="I122">
        <v>118.2</v>
      </c>
      <c r="J122">
        <v>138.1</v>
      </c>
      <c r="K122">
        <v>141.80000000000001</v>
      </c>
      <c r="L122">
        <v>166</v>
      </c>
      <c r="M122">
        <v>107.5</v>
      </c>
      <c r="N122">
        <v>132.19999999999999</v>
      </c>
      <c r="O122">
        <v>126.1</v>
      </c>
      <c r="P122">
        <v>138.30000000000001</v>
      </c>
      <c r="Q122" s="3">
        <v>133.6</v>
      </c>
      <c r="R122" s="7">
        <v>136</v>
      </c>
      <c r="S122">
        <v>135.4</v>
      </c>
      <c r="T122">
        <v>131.1</v>
      </c>
      <c r="U122" s="5">
        <v>134.80000000000001</v>
      </c>
      <c r="V122" s="6" t="s">
        <v>32</v>
      </c>
      <c r="W122" s="4">
        <v>127.4</v>
      </c>
      <c r="X122">
        <v>128.5</v>
      </c>
      <c r="Y122">
        <v>125.8</v>
      </c>
      <c r="Z122">
        <v>115.1</v>
      </c>
      <c r="AA122">
        <v>123.6</v>
      </c>
      <c r="AB122">
        <v>129.1</v>
      </c>
      <c r="AC122">
        <v>119.7</v>
      </c>
      <c r="AD122" s="7">
        <v>122.5</v>
      </c>
      <c r="AE122">
        <v>130.30000000000001</v>
      </c>
    </row>
    <row r="123" spans="1:31" x14ac:dyDescent="0.3">
      <c r="A123" t="s">
        <v>33</v>
      </c>
      <c r="B123">
        <v>2016</v>
      </c>
      <c r="C123" t="s">
        <v>38</v>
      </c>
      <c r="D123" s="10" t="str">
        <f xml:space="preserve"> _xlfn.CONCAT(Table1[[#This Row],[Month]],",",Table1[[#This Row],[Year]])</f>
        <v>May,2016</v>
      </c>
      <c r="E123">
        <v>125</v>
      </c>
      <c r="F123">
        <v>142.1</v>
      </c>
      <c r="G123">
        <v>127</v>
      </c>
      <c r="H123">
        <v>130.4</v>
      </c>
      <c r="I123">
        <v>109.6</v>
      </c>
      <c r="J123">
        <v>133.5</v>
      </c>
      <c r="K123">
        <v>151.4</v>
      </c>
      <c r="L123">
        <v>182.8</v>
      </c>
      <c r="M123">
        <v>111.1</v>
      </c>
      <c r="N123">
        <v>141.5</v>
      </c>
      <c r="O123">
        <v>121.5</v>
      </c>
      <c r="P123">
        <v>136.30000000000001</v>
      </c>
      <c r="Q123" s="3">
        <v>134.6</v>
      </c>
      <c r="R123" s="7">
        <v>142.19999999999999</v>
      </c>
      <c r="S123">
        <v>127.2</v>
      </c>
      <c r="T123">
        <v>120.7</v>
      </c>
      <c r="U123" s="5">
        <v>126.2</v>
      </c>
      <c r="V123" s="6">
        <v>126</v>
      </c>
      <c r="W123" s="4">
        <v>115</v>
      </c>
      <c r="X123">
        <v>123.2</v>
      </c>
      <c r="Y123">
        <v>120.3</v>
      </c>
      <c r="Z123">
        <v>110.7</v>
      </c>
      <c r="AA123">
        <v>119.8</v>
      </c>
      <c r="AB123">
        <v>128</v>
      </c>
      <c r="AC123">
        <v>118.5</v>
      </c>
      <c r="AD123" s="7">
        <v>118.7</v>
      </c>
      <c r="AE123">
        <v>126.6</v>
      </c>
    </row>
    <row r="124" spans="1:31" x14ac:dyDescent="0.3">
      <c r="A124" t="s">
        <v>34</v>
      </c>
      <c r="B124">
        <v>2016</v>
      </c>
      <c r="C124" t="s">
        <v>38</v>
      </c>
      <c r="D124" s="10" t="str">
        <f xml:space="preserve"> _xlfn.CONCAT(Table1[[#This Row],[Month]],",",Table1[[#This Row],[Year]])</f>
        <v>May,2016</v>
      </c>
      <c r="E124">
        <v>126.8</v>
      </c>
      <c r="F124">
        <v>139.1</v>
      </c>
      <c r="G124">
        <v>125.4</v>
      </c>
      <c r="H124">
        <v>131.69999999999999</v>
      </c>
      <c r="I124">
        <v>115</v>
      </c>
      <c r="J124">
        <v>136</v>
      </c>
      <c r="K124">
        <v>145.1</v>
      </c>
      <c r="L124">
        <v>171.7</v>
      </c>
      <c r="M124">
        <v>108.7</v>
      </c>
      <c r="N124">
        <v>135.30000000000001</v>
      </c>
      <c r="O124">
        <v>124.2</v>
      </c>
      <c r="P124">
        <v>137.4</v>
      </c>
      <c r="Q124" s="3">
        <v>134</v>
      </c>
      <c r="R124" s="7">
        <v>137.69999999999999</v>
      </c>
      <c r="S124">
        <v>132.19999999999999</v>
      </c>
      <c r="T124">
        <v>126.8</v>
      </c>
      <c r="U124" s="5">
        <v>131.4</v>
      </c>
      <c r="V124" s="6">
        <v>126</v>
      </c>
      <c r="W124" s="4">
        <v>122.7</v>
      </c>
      <c r="X124">
        <v>126</v>
      </c>
      <c r="Y124">
        <v>123.7</v>
      </c>
      <c r="Z124">
        <v>112.8</v>
      </c>
      <c r="AA124">
        <v>121.5</v>
      </c>
      <c r="AB124">
        <v>128.5</v>
      </c>
      <c r="AC124">
        <v>119.2</v>
      </c>
      <c r="AD124" s="7">
        <v>120.7</v>
      </c>
      <c r="AE124">
        <v>128.6</v>
      </c>
    </row>
    <row r="125" spans="1:31" x14ac:dyDescent="0.3">
      <c r="A125" t="s">
        <v>30</v>
      </c>
      <c r="B125">
        <v>2016</v>
      </c>
      <c r="C125" t="s">
        <v>39</v>
      </c>
      <c r="D125" s="10" t="str">
        <f xml:space="preserve"> _xlfn.CONCAT(Table1[[#This Row],[Month]],",",Table1[[#This Row],[Year]])</f>
        <v>June,2016</v>
      </c>
      <c r="E125">
        <v>128.6</v>
      </c>
      <c r="F125">
        <v>138.6</v>
      </c>
      <c r="G125">
        <v>126.6</v>
      </c>
      <c r="H125">
        <v>133.6</v>
      </c>
      <c r="I125">
        <v>118.6</v>
      </c>
      <c r="J125">
        <v>137.4</v>
      </c>
      <c r="K125">
        <v>152.5</v>
      </c>
      <c r="L125">
        <v>169.2</v>
      </c>
      <c r="M125">
        <v>108.8</v>
      </c>
      <c r="N125">
        <v>133.1</v>
      </c>
      <c r="O125">
        <v>126.4</v>
      </c>
      <c r="P125">
        <v>139.19999999999999</v>
      </c>
      <c r="Q125" s="3">
        <v>136</v>
      </c>
      <c r="R125" s="7">
        <v>137.19999999999999</v>
      </c>
      <c r="S125">
        <v>136.30000000000001</v>
      </c>
      <c r="T125">
        <v>131.6</v>
      </c>
      <c r="U125" s="5">
        <v>135.6</v>
      </c>
      <c r="V125" s="6" t="s">
        <v>32</v>
      </c>
      <c r="W125" s="4">
        <v>128</v>
      </c>
      <c r="X125">
        <v>129.30000000000001</v>
      </c>
      <c r="Y125">
        <v>126.2</v>
      </c>
      <c r="Z125">
        <v>116.3</v>
      </c>
      <c r="AA125">
        <v>124.1</v>
      </c>
      <c r="AB125">
        <v>130.19999999999999</v>
      </c>
      <c r="AC125">
        <v>119.9</v>
      </c>
      <c r="AD125" s="7">
        <v>123.3</v>
      </c>
      <c r="AE125">
        <v>131.9</v>
      </c>
    </row>
    <row r="126" spans="1:31" x14ac:dyDescent="0.3">
      <c r="A126" t="s">
        <v>33</v>
      </c>
      <c r="B126">
        <v>2016</v>
      </c>
      <c r="C126" t="s">
        <v>39</v>
      </c>
      <c r="D126" s="10" t="str">
        <f xml:space="preserve"> _xlfn.CONCAT(Table1[[#This Row],[Month]],",",Table1[[#This Row],[Year]])</f>
        <v>June,2016</v>
      </c>
      <c r="E126">
        <v>125.9</v>
      </c>
      <c r="F126">
        <v>143.9</v>
      </c>
      <c r="G126">
        <v>130.9</v>
      </c>
      <c r="H126">
        <v>131</v>
      </c>
      <c r="I126">
        <v>110.2</v>
      </c>
      <c r="J126">
        <v>135.5</v>
      </c>
      <c r="K126">
        <v>173.7</v>
      </c>
      <c r="L126">
        <v>184.4</v>
      </c>
      <c r="M126">
        <v>112</v>
      </c>
      <c r="N126">
        <v>142.80000000000001</v>
      </c>
      <c r="O126">
        <v>121.6</v>
      </c>
      <c r="P126">
        <v>136.9</v>
      </c>
      <c r="Q126" s="3">
        <v>138.19999999999999</v>
      </c>
      <c r="R126" s="7">
        <v>142.69999999999999</v>
      </c>
      <c r="S126">
        <v>127.6</v>
      </c>
      <c r="T126">
        <v>121.1</v>
      </c>
      <c r="U126" s="5">
        <v>126.6</v>
      </c>
      <c r="V126" s="6">
        <v>125.5</v>
      </c>
      <c r="W126" s="4">
        <v>115.5</v>
      </c>
      <c r="X126">
        <v>123.2</v>
      </c>
      <c r="Y126">
        <v>120.6</v>
      </c>
      <c r="Z126">
        <v>112.3</v>
      </c>
      <c r="AA126">
        <v>119.9</v>
      </c>
      <c r="AB126">
        <v>129.30000000000001</v>
      </c>
      <c r="AC126">
        <v>118.8</v>
      </c>
      <c r="AD126" s="7">
        <v>119.6</v>
      </c>
      <c r="AE126">
        <v>128.1</v>
      </c>
    </row>
    <row r="127" spans="1:31" x14ac:dyDescent="0.3">
      <c r="A127" t="s">
        <v>34</v>
      </c>
      <c r="B127">
        <v>2016</v>
      </c>
      <c r="C127" t="s">
        <v>39</v>
      </c>
      <c r="D127" s="10" t="str">
        <f xml:space="preserve"> _xlfn.CONCAT(Table1[[#This Row],[Month]],",",Table1[[#This Row],[Year]])</f>
        <v>June,2016</v>
      </c>
      <c r="E127">
        <v>127.7</v>
      </c>
      <c r="F127">
        <v>140.5</v>
      </c>
      <c r="G127">
        <v>128.30000000000001</v>
      </c>
      <c r="H127">
        <v>132.6</v>
      </c>
      <c r="I127">
        <v>115.5</v>
      </c>
      <c r="J127">
        <v>136.5</v>
      </c>
      <c r="K127">
        <v>159.69999999999999</v>
      </c>
      <c r="L127">
        <v>174.3</v>
      </c>
      <c r="M127">
        <v>109.9</v>
      </c>
      <c r="N127">
        <v>136.30000000000001</v>
      </c>
      <c r="O127">
        <v>124.4</v>
      </c>
      <c r="P127">
        <v>138.1</v>
      </c>
      <c r="Q127" s="3">
        <v>136.80000000000001</v>
      </c>
      <c r="R127" s="7">
        <v>138.69999999999999</v>
      </c>
      <c r="S127">
        <v>132.9</v>
      </c>
      <c r="T127">
        <v>127.2</v>
      </c>
      <c r="U127" s="5">
        <v>132</v>
      </c>
      <c r="V127" s="6">
        <v>125.5</v>
      </c>
      <c r="W127" s="4">
        <v>123.3</v>
      </c>
      <c r="X127">
        <v>126.4</v>
      </c>
      <c r="Y127">
        <v>124.1</v>
      </c>
      <c r="Z127">
        <v>114.2</v>
      </c>
      <c r="AA127">
        <v>121.7</v>
      </c>
      <c r="AB127">
        <v>129.69999999999999</v>
      </c>
      <c r="AC127">
        <v>119.4</v>
      </c>
      <c r="AD127" s="7">
        <v>121.5</v>
      </c>
      <c r="AE127">
        <v>130.1</v>
      </c>
    </row>
    <row r="128" spans="1:31" x14ac:dyDescent="0.3">
      <c r="A128" t="s">
        <v>30</v>
      </c>
      <c r="B128">
        <v>2016</v>
      </c>
      <c r="C128" t="s">
        <v>40</v>
      </c>
      <c r="D128" s="10" t="str">
        <f xml:space="preserve"> _xlfn.CONCAT(Table1[[#This Row],[Month]],",",Table1[[#This Row],[Year]])</f>
        <v>July,2016</v>
      </c>
      <c r="E128">
        <v>129.30000000000001</v>
      </c>
      <c r="F128">
        <v>139.5</v>
      </c>
      <c r="G128">
        <v>129.6</v>
      </c>
      <c r="H128">
        <v>134.5</v>
      </c>
      <c r="I128">
        <v>119.5</v>
      </c>
      <c r="J128">
        <v>138.5</v>
      </c>
      <c r="K128">
        <v>158.19999999999999</v>
      </c>
      <c r="L128">
        <v>171.8</v>
      </c>
      <c r="M128">
        <v>110.3</v>
      </c>
      <c r="N128">
        <v>134.30000000000001</v>
      </c>
      <c r="O128">
        <v>127.3</v>
      </c>
      <c r="P128">
        <v>139.9</v>
      </c>
      <c r="Q128" s="3">
        <v>137.6</v>
      </c>
      <c r="R128" s="7">
        <v>138</v>
      </c>
      <c r="S128">
        <v>137.19999999999999</v>
      </c>
      <c r="T128">
        <v>132.19999999999999</v>
      </c>
      <c r="U128" s="5">
        <v>136.5</v>
      </c>
      <c r="V128" s="6" t="s">
        <v>32</v>
      </c>
      <c r="W128" s="4">
        <v>128.19999999999999</v>
      </c>
      <c r="X128">
        <v>130</v>
      </c>
      <c r="Y128">
        <v>126.7</v>
      </c>
      <c r="Z128">
        <v>116.4</v>
      </c>
      <c r="AA128">
        <v>125.2</v>
      </c>
      <c r="AB128">
        <v>130.80000000000001</v>
      </c>
      <c r="AC128">
        <v>120.9</v>
      </c>
      <c r="AD128" s="7">
        <v>123.8</v>
      </c>
      <c r="AE128">
        <v>133</v>
      </c>
    </row>
    <row r="129" spans="1:31" x14ac:dyDescent="0.3">
      <c r="A129" t="s">
        <v>33</v>
      </c>
      <c r="B129">
        <v>2016</v>
      </c>
      <c r="C129" t="s">
        <v>40</v>
      </c>
      <c r="D129" s="10" t="str">
        <f xml:space="preserve"> _xlfn.CONCAT(Table1[[#This Row],[Month]],",",Table1[[#This Row],[Year]])</f>
        <v>July,2016</v>
      </c>
      <c r="E129">
        <v>126.8</v>
      </c>
      <c r="F129">
        <v>144.19999999999999</v>
      </c>
      <c r="G129">
        <v>136.6</v>
      </c>
      <c r="H129">
        <v>131.80000000000001</v>
      </c>
      <c r="I129">
        <v>111</v>
      </c>
      <c r="J129">
        <v>137</v>
      </c>
      <c r="K129">
        <v>179.5</v>
      </c>
      <c r="L129">
        <v>188.4</v>
      </c>
      <c r="M129">
        <v>113.3</v>
      </c>
      <c r="N129">
        <v>143.9</v>
      </c>
      <c r="O129">
        <v>121.7</v>
      </c>
      <c r="P129">
        <v>137.5</v>
      </c>
      <c r="Q129" s="3">
        <v>139.80000000000001</v>
      </c>
      <c r="R129" s="7">
        <v>142.9</v>
      </c>
      <c r="S129">
        <v>127.9</v>
      </c>
      <c r="T129">
        <v>121.1</v>
      </c>
      <c r="U129" s="5">
        <v>126.9</v>
      </c>
      <c r="V129" s="6">
        <v>126.4</v>
      </c>
      <c r="W129" s="4">
        <v>115.5</v>
      </c>
      <c r="X129">
        <v>123.5</v>
      </c>
      <c r="Y129">
        <v>120.9</v>
      </c>
      <c r="Z129">
        <v>111.7</v>
      </c>
      <c r="AA129">
        <v>120.3</v>
      </c>
      <c r="AB129">
        <v>130.80000000000001</v>
      </c>
      <c r="AC129">
        <v>120</v>
      </c>
      <c r="AD129" s="7">
        <v>119.9</v>
      </c>
      <c r="AE129">
        <v>129</v>
      </c>
    </row>
    <row r="130" spans="1:31" x14ac:dyDescent="0.3">
      <c r="A130" t="s">
        <v>34</v>
      </c>
      <c r="B130">
        <v>2016</v>
      </c>
      <c r="C130" t="s">
        <v>40</v>
      </c>
      <c r="D130" s="10" t="str">
        <f xml:space="preserve"> _xlfn.CONCAT(Table1[[#This Row],[Month]],",",Table1[[#This Row],[Year]])</f>
        <v>July,2016</v>
      </c>
      <c r="E130">
        <v>128.5</v>
      </c>
      <c r="F130">
        <v>141.19999999999999</v>
      </c>
      <c r="G130">
        <v>132.30000000000001</v>
      </c>
      <c r="H130">
        <v>133.5</v>
      </c>
      <c r="I130">
        <v>116.4</v>
      </c>
      <c r="J130">
        <v>137.80000000000001</v>
      </c>
      <c r="K130">
        <v>165.4</v>
      </c>
      <c r="L130">
        <v>177.4</v>
      </c>
      <c r="M130">
        <v>111.3</v>
      </c>
      <c r="N130">
        <v>137.5</v>
      </c>
      <c r="O130">
        <v>125</v>
      </c>
      <c r="P130">
        <v>138.80000000000001</v>
      </c>
      <c r="Q130" s="3">
        <v>138.4</v>
      </c>
      <c r="R130" s="7">
        <v>139.30000000000001</v>
      </c>
      <c r="S130">
        <v>133.5</v>
      </c>
      <c r="T130">
        <v>127.6</v>
      </c>
      <c r="U130" s="5">
        <v>132.69999999999999</v>
      </c>
      <c r="V130" s="6">
        <v>126.4</v>
      </c>
      <c r="W130" s="4">
        <v>123.4</v>
      </c>
      <c r="X130">
        <v>126.9</v>
      </c>
      <c r="Y130">
        <v>124.5</v>
      </c>
      <c r="Z130">
        <v>113.9</v>
      </c>
      <c r="AA130">
        <v>122.4</v>
      </c>
      <c r="AB130">
        <v>130.80000000000001</v>
      </c>
      <c r="AC130">
        <v>120.5</v>
      </c>
      <c r="AD130" s="7">
        <v>121.9</v>
      </c>
      <c r="AE130">
        <v>131.1</v>
      </c>
    </row>
    <row r="131" spans="1:31" x14ac:dyDescent="0.3">
      <c r="A131" t="s">
        <v>30</v>
      </c>
      <c r="B131">
        <v>2016</v>
      </c>
      <c r="C131" t="s">
        <v>41</v>
      </c>
      <c r="D131" s="10" t="str">
        <f xml:space="preserve"> _xlfn.CONCAT(Table1[[#This Row],[Month]],",",Table1[[#This Row],[Year]])</f>
        <v>August,2016</v>
      </c>
      <c r="E131">
        <v>130.1</v>
      </c>
      <c r="F131">
        <v>138.80000000000001</v>
      </c>
      <c r="G131">
        <v>130.30000000000001</v>
      </c>
      <c r="H131">
        <v>135.30000000000001</v>
      </c>
      <c r="I131">
        <v>119.9</v>
      </c>
      <c r="J131">
        <v>140.19999999999999</v>
      </c>
      <c r="K131">
        <v>156.9</v>
      </c>
      <c r="L131">
        <v>172.2</v>
      </c>
      <c r="M131">
        <v>112.1</v>
      </c>
      <c r="N131">
        <v>134.9</v>
      </c>
      <c r="O131">
        <v>128.1</v>
      </c>
      <c r="P131">
        <v>140.69999999999999</v>
      </c>
      <c r="Q131" s="3">
        <v>138</v>
      </c>
      <c r="R131" s="7">
        <v>138.9</v>
      </c>
      <c r="S131">
        <v>137.80000000000001</v>
      </c>
      <c r="T131">
        <v>133</v>
      </c>
      <c r="U131" s="5">
        <v>137.1</v>
      </c>
      <c r="V131" s="6" t="s">
        <v>32</v>
      </c>
      <c r="W131" s="4">
        <v>129.1</v>
      </c>
      <c r="X131">
        <v>130.6</v>
      </c>
      <c r="Y131">
        <v>127</v>
      </c>
      <c r="Z131">
        <v>116</v>
      </c>
      <c r="AA131">
        <v>125.5</v>
      </c>
      <c r="AB131">
        <v>131.9</v>
      </c>
      <c r="AC131">
        <v>122</v>
      </c>
      <c r="AD131" s="7">
        <v>124.2</v>
      </c>
      <c r="AE131">
        <v>133.5</v>
      </c>
    </row>
    <row r="132" spans="1:31" x14ac:dyDescent="0.3">
      <c r="A132" t="s">
        <v>33</v>
      </c>
      <c r="B132">
        <v>2016</v>
      </c>
      <c r="C132" t="s">
        <v>41</v>
      </c>
      <c r="D132" s="10" t="str">
        <f xml:space="preserve"> _xlfn.CONCAT(Table1[[#This Row],[Month]],",",Table1[[#This Row],[Year]])</f>
        <v>August,2016</v>
      </c>
      <c r="E132">
        <v>127.6</v>
      </c>
      <c r="F132">
        <v>140.30000000000001</v>
      </c>
      <c r="G132">
        <v>133.69999999999999</v>
      </c>
      <c r="H132">
        <v>132.19999999999999</v>
      </c>
      <c r="I132">
        <v>111.8</v>
      </c>
      <c r="J132">
        <v>135.80000000000001</v>
      </c>
      <c r="K132">
        <v>163.5</v>
      </c>
      <c r="L132">
        <v>182.3</v>
      </c>
      <c r="M132">
        <v>114.6</v>
      </c>
      <c r="N132">
        <v>144.6</v>
      </c>
      <c r="O132">
        <v>121.9</v>
      </c>
      <c r="P132">
        <v>138.1</v>
      </c>
      <c r="Q132" s="3">
        <v>137.6</v>
      </c>
      <c r="R132" s="7">
        <v>143.6</v>
      </c>
      <c r="S132">
        <v>128.30000000000001</v>
      </c>
      <c r="T132">
        <v>121.4</v>
      </c>
      <c r="U132" s="5">
        <v>127.3</v>
      </c>
      <c r="V132" s="6">
        <v>127.3</v>
      </c>
      <c r="W132" s="4">
        <v>114.7</v>
      </c>
      <c r="X132">
        <v>123.9</v>
      </c>
      <c r="Y132">
        <v>121.2</v>
      </c>
      <c r="Z132">
        <v>110.4</v>
      </c>
      <c r="AA132">
        <v>120.6</v>
      </c>
      <c r="AB132">
        <v>131.5</v>
      </c>
      <c r="AC132">
        <v>120.9</v>
      </c>
      <c r="AD132" s="7">
        <v>119.9</v>
      </c>
      <c r="AE132">
        <v>128.4</v>
      </c>
    </row>
    <row r="133" spans="1:31" x14ac:dyDescent="0.3">
      <c r="A133" t="s">
        <v>34</v>
      </c>
      <c r="B133">
        <v>2016</v>
      </c>
      <c r="C133" t="s">
        <v>41</v>
      </c>
      <c r="D133" s="10" t="str">
        <f xml:space="preserve"> _xlfn.CONCAT(Table1[[#This Row],[Month]],",",Table1[[#This Row],[Year]])</f>
        <v>August,2016</v>
      </c>
      <c r="E133">
        <v>129.30000000000001</v>
      </c>
      <c r="F133">
        <v>139.30000000000001</v>
      </c>
      <c r="G133">
        <v>131.6</v>
      </c>
      <c r="H133">
        <v>134.1</v>
      </c>
      <c r="I133">
        <v>116.9</v>
      </c>
      <c r="J133">
        <v>138.1</v>
      </c>
      <c r="K133">
        <v>159.1</v>
      </c>
      <c r="L133">
        <v>175.6</v>
      </c>
      <c r="M133">
        <v>112.9</v>
      </c>
      <c r="N133">
        <v>138.1</v>
      </c>
      <c r="O133">
        <v>125.5</v>
      </c>
      <c r="P133">
        <v>139.5</v>
      </c>
      <c r="Q133" s="3">
        <v>137.9</v>
      </c>
      <c r="R133" s="7">
        <v>140.19999999999999</v>
      </c>
      <c r="S133">
        <v>134.1</v>
      </c>
      <c r="T133">
        <v>128.19999999999999</v>
      </c>
      <c r="U133" s="5">
        <v>133.19999999999999</v>
      </c>
      <c r="V133" s="6">
        <v>127.3</v>
      </c>
      <c r="W133" s="4">
        <v>123.6</v>
      </c>
      <c r="X133">
        <v>127.4</v>
      </c>
      <c r="Y133">
        <v>124.8</v>
      </c>
      <c r="Z133">
        <v>113.1</v>
      </c>
      <c r="AA133">
        <v>122.7</v>
      </c>
      <c r="AB133">
        <v>131.69999999999999</v>
      </c>
      <c r="AC133">
        <v>121.5</v>
      </c>
      <c r="AD133" s="7">
        <v>122.1</v>
      </c>
      <c r="AE133">
        <v>131.1</v>
      </c>
    </row>
    <row r="134" spans="1:31" x14ac:dyDescent="0.3">
      <c r="A134" t="s">
        <v>30</v>
      </c>
      <c r="B134">
        <v>2016</v>
      </c>
      <c r="C134" t="s">
        <v>42</v>
      </c>
      <c r="D134" s="10" t="str">
        <f xml:space="preserve"> _xlfn.CONCAT(Table1[[#This Row],[Month]],",",Table1[[#This Row],[Year]])</f>
        <v>September,2016</v>
      </c>
      <c r="E134">
        <v>130.80000000000001</v>
      </c>
      <c r="F134">
        <v>138.19999999999999</v>
      </c>
      <c r="G134">
        <v>130.5</v>
      </c>
      <c r="H134">
        <v>135.5</v>
      </c>
      <c r="I134">
        <v>120.2</v>
      </c>
      <c r="J134">
        <v>139.19999999999999</v>
      </c>
      <c r="K134">
        <v>149.5</v>
      </c>
      <c r="L134">
        <v>170.4</v>
      </c>
      <c r="M134">
        <v>113.1</v>
      </c>
      <c r="N134">
        <v>135.80000000000001</v>
      </c>
      <c r="O134">
        <v>128.80000000000001</v>
      </c>
      <c r="P134">
        <v>141.5</v>
      </c>
      <c r="Q134" s="3">
        <v>137.19999999999999</v>
      </c>
      <c r="R134" s="7">
        <v>139.9</v>
      </c>
      <c r="S134">
        <v>138.5</v>
      </c>
      <c r="T134">
        <v>133.5</v>
      </c>
      <c r="U134" s="5">
        <v>137.80000000000001</v>
      </c>
      <c r="V134" s="6" t="s">
        <v>32</v>
      </c>
      <c r="W134" s="4">
        <v>129.69999999999999</v>
      </c>
      <c r="X134">
        <v>131.1</v>
      </c>
      <c r="Y134">
        <v>127.8</v>
      </c>
      <c r="Z134">
        <v>117</v>
      </c>
      <c r="AA134">
        <v>125.7</v>
      </c>
      <c r="AB134">
        <v>132.19999999999999</v>
      </c>
      <c r="AC134">
        <v>122.8</v>
      </c>
      <c r="AD134" s="7">
        <v>124.9</v>
      </c>
      <c r="AE134">
        <v>133.4</v>
      </c>
    </row>
    <row r="135" spans="1:31" x14ac:dyDescent="0.3">
      <c r="A135" t="s">
        <v>33</v>
      </c>
      <c r="B135">
        <v>2016</v>
      </c>
      <c r="C135" t="s">
        <v>42</v>
      </c>
      <c r="D135" s="10" t="str">
        <f xml:space="preserve"> _xlfn.CONCAT(Table1[[#This Row],[Month]],",",Table1[[#This Row],[Year]])</f>
        <v>September,2016</v>
      </c>
      <c r="E135">
        <v>128.1</v>
      </c>
      <c r="F135">
        <v>137.69999999999999</v>
      </c>
      <c r="G135">
        <v>130.6</v>
      </c>
      <c r="H135">
        <v>132.6</v>
      </c>
      <c r="I135">
        <v>111.9</v>
      </c>
      <c r="J135">
        <v>132.5</v>
      </c>
      <c r="K135">
        <v>152.9</v>
      </c>
      <c r="L135">
        <v>173.6</v>
      </c>
      <c r="M135">
        <v>115.1</v>
      </c>
      <c r="N135">
        <v>144.80000000000001</v>
      </c>
      <c r="O135">
        <v>122.1</v>
      </c>
      <c r="P135">
        <v>138.80000000000001</v>
      </c>
      <c r="Q135" s="3">
        <v>135.69999999999999</v>
      </c>
      <c r="R135" s="7">
        <v>143.9</v>
      </c>
      <c r="S135">
        <v>128.69999999999999</v>
      </c>
      <c r="T135">
        <v>121.6</v>
      </c>
      <c r="U135" s="5">
        <v>127.7</v>
      </c>
      <c r="V135" s="6">
        <v>127.9</v>
      </c>
      <c r="W135" s="4">
        <v>114.8</v>
      </c>
      <c r="X135">
        <v>124.3</v>
      </c>
      <c r="Y135">
        <v>121.4</v>
      </c>
      <c r="Z135">
        <v>111.8</v>
      </c>
      <c r="AA135">
        <v>120.8</v>
      </c>
      <c r="AB135">
        <v>131.6</v>
      </c>
      <c r="AC135">
        <v>121.2</v>
      </c>
      <c r="AD135" s="7">
        <v>120.5</v>
      </c>
      <c r="AE135">
        <v>128</v>
      </c>
    </row>
    <row r="136" spans="1:31" x14ac:dyDescent="0.3">
      <c r="A136" t="s">
        <v>34</v>
      </c>
      <c r="B136">
        <v>2016</v>
      </c>
      <c r="C136" t="s">
        <v>42</v>
      </c>
      <c r="D136" s="10" t="str">
        <f xml:space="preserve"> _xlfn.CONCAT(Table1[[#This Row],[Month]],",",Table1[[#This Row],[Year]])</f>
        <v>September,2016</v>
      </c>
      <c r="E136">
        <v>129.9</v>
      </c>
      <c r="F136">
        <v>138</v>
      </c>
      <c r="G136">
        <v>130.5</v>
      </c>
      <c r="H136">
        <v>134.4</v>
      </c>
      <c r="I136">
        <v>117.2</v>
      </c>
      <c r="J136">
        <v>136.1</v>
      </c>
      <c r="K136">
        <v>150.69999999999999</v>
      </c>
      <c r="L136">
        <v>171.5</v>
      </c>
      <c r="M136">
        <v>113.8</v>
      </c>
      <c r="N136">
        <v>138.80000000000001</v>
      </c>
      <c r="O136">
        <v>126</v>
      </c>
      <c r="P136">
        <v>140.19999999999999</v>
      </c>
      <c r="Q136" s="3">
        <v>136.6</v>
      </c>
      <c r="R136" s="7">
        <v>141</v>
      </c>
      <c r="S136">
        <v>134.6</v>
      </c>
      <c r="T136">
        <v>128.6</v>
      </c>
      <c r="U136" s="5">
        <v>133.80000000000001</v>
      </c>
      <c r="V136" s="6">
        <v>127.9</v>
      </c>
      <c r="W136" s="4">
        <v>124.1</v>
      </c>
      <c r="X136">
        <v>127.9</v>
      </c>
      <c r="Y136">
        <v>125.4</v>
      </c>
      <c r="Z136">
        <v>114.3</v>
      </c>
      <c r="AA136">
        <v>122.9</v>
      </c>
      <c r="AB136">
        <v>131.80000000000001</v>
      </c>
      <c r="AC136">
        <v>122.1</v>
      </c>
      <c r="AD136" s="7">
        <v>122.8</v>
      </c>
      <c r="AE136">
        <v>130.9</v>
      </c>
    </row>
    <row r="137" spans="1:31" x14ac:dyDescent="0.3">
      <c r="A137" t="s">
        <v>30</v>
      </c>
      <c r="B137">
        <v>2016</v>
      </c>
      <c r="C137" t="s">
        <v>43</v>
      </c>
      <c r="D137" s="10" t="str">
        <f xml:space="preserve"> _xlfn.CONCAT(Table1[[#This Row],[Month]],",",Table1[[#This Row],[Year]])</f>
        <v>October,2016</v>
      </c>
      <c r="E137">
        <v>131.30000000000001</v>
      </c>
      <c r="F137">
        <v>137.6</v>
      </c>
      <c r="G137">
        <v>130.1</v>
      </c>
      <c r="H137">
        <v>136</v>
      </c>
      <c r="I137">
        <v>120.8</v>
      </c>
      <c r="J137">
        <v>138.4</v>
      </c>
      <c r="K137">
        <v>149.19999999999999</v>
      </c>
      <c r="L137">
        <v>170.2</v>
      </c>
      <c r="M137">
        <v>113.4</v>
      </c>
      <c r="N137">
        <v>136.30000000000001</v>
      </c>
      <c r="O137">
        <v>128.69999999999999</v>
      </c>
      <c r="P137">
        <v>142.4</v>
      </c>
      <c r="Q137" s="3">
        <v>137.4</v>
      </c>
      <c r="R137" s="7">
        <v>140.9</v>
      </c>
      <c r="S137">
        <v>139.6</v>
      </c>
      <c r="T137">
        <v>134.30000000000001</v>
      </c>
      <c r="U137" s="5">
        <v>138.80000000000001</v>
      </c>
      <c r="V137" s="6" t="s">
        <v>32</v>
      </c>
      <c r="W137" s="4">
        <v>129.80000000000001</v>
      </c>
      <c r="X137">
        <v>131.80000000000001</v>
      </c>
      <c r="Y137">
        <v>128.69999999999999</v>
      </c>
      <c r="Z137">
        <v>117.8</v>
      </c>
      <c r="AA137">
        <v>126.5</v>
      </c>
      <c r="AB137">
        <v>133</v>
      </c>
      <c r="AC137">
        <v>123</v>
      </c>
      <c r="AD137" s="7">
        <v>125.7</v>
      </c>
      <c r="AE137">
        <v>133.80000000000001</v>
      </c>
    </row>
    <row r="138" spans="1:31" x14ac:dyDescent="0.3">
      <c r="A138" t="s">
        <v>33</v>
      </c>
      <c r="B138">
        <v>2016</v>
      </c>
      <c r="C138" t="s">
        <v>43</v>
      </c>
      <c r="D138" s="10" t="str">
        <f xml:space="preserve"> _xlfn.CONCAT(Table1[[#This Row],[Month]],",",Table1[[#This Row],[Year]])</f>
        <v>October,2016</v>
      </c>
      <c r="E138">
        <v>128.69999999999999</v>
      </c>
      <c r="F138">
        <v>138.4</v>
      </c>
      <c r="G138">
        <v>130.30000000000001</v>
      </c>
      <c r="H138">
        <v>132.69999999999999</v>
      </c>
      <c r="I138">
        <v>112.5</v>
      </c>
      <c r="J138">
        <v>130.4</v>
      </c>
      <c r="K138">
        <v>155.1</v>
      </c>
      <c r="L138">
        <v>175.7</v>
      </c>
      <c r="M138">
        <v>115.4</v>
      </c>
      <c r="N138">
        <v>145.30000000000001</v>
      </c>
      <c r="O138">
        <v>122.5</v>
      </c>
      <c r="P138">
        <v>139.6</v>
      </c>
      <c r="Q138" s="3">
        <v>136.30000000000001</v>
      </c>
      <c r="R138" s="7">
        <v>144.30000000000001</v>
      </c>
      <c r="S138">
        <v>129.1</v>
      </c>
      <c r="T138">
        <v>121.9</v>
      </c>
      <c r="U138" s="5">
        <v>128</v>
      </c>
      <c r="V138" s="6">
        <v>128.69999999999999</v>
      </c>
      <c r="W138" s="4">
        <v>115.2</v>
      </c>
      <c r="X138">
        <v>124.5</v>
      </c>
      <c r="Y138">
        <v>121.8</v>
      </c>
      <c r="Z138">
        <v>112.8</v>
      </c>
      <c r="AA138">
        <v>121.2</v>
      </c>
      <c r="AB138">
        <v>131.9</v>
      </c>
      <c r="AC138">
        <v>120.8</v>
      </c>
      <c r="AD138" s="7">
        <v>120.9</v>
      </c>
      <c r="AE138">
        <v>128.6</v>
      </c>
    </row>
    <row r="139" spans="1:31" x14ac:dyDescent="0.3">
      <c r="A139" t="s">
        <v>34</v>
      </c>
      <c r="B139">
        <v>2016</v>
      </c>
      <c r="C139" t="s">
        <v>43</v>
      </c>
      <c r="D139" s="10" t="str">
        <f xml:space="preserve"> _xlfn.CONCAT(Table1[[#This Row],[Month]],",",Table1[[#This Row],[Year]])</f>
        <v>October,2016</v>
      </c>
      <c r="E139">
        <v>130.5</v>
      </c>
      <c r="F139">
        <v>137.9</v>
      </c>
      <c r="G139">
        <v>130.19999999999999</v>
      </c>
      <c r="H139">
        <v>134.80000000000001</v>
      </c>
      <c r="I139">
        <v>117.8</v>
      </c>
      <c r="J139">
        <v>134.69999999999999</v>
      </c>
      <c r="K139">
        <v>151.19999999999999</v>
      </c>
      <c r="L139">
        <v>172.1</v>
      </c>
      <c r="M139">
        <v>114.1</v>
      </c>
      <c r="N139">
        <v>139.30000000000001</v>
      </c>
      <c r="O139">
        <v>126.1</v>
      </c>
      <c r="P139">
        <v>141.1</v>
      </c>
      <c r="Q139" s="3">
        <v>137</v>
      </c>
      <c r="R139" s="7">
        <v>141.80000000000001</v>
      </c>
      <c r="S139">
        <v>135.5</v>
      </c>
      <c r="T139">
        <v>129.1</v>
      </c>
      <c r="U139" s="5">
        <v>134.5</v>
      </c>
      <c r="V139" s="6">
        <v>128.69999999999999</v>
      </c>
      <c r="W139" s="4">
        <v>124.3</v>
      </c>
      <c r="X139">
        <v>128.4</v>
      </c>
      <c r="Y139">
        <v>126.1</v>
      </c>
      <c r="Z139">
        <v>115.2</v>
      </c>
      <c r="AA139">
        <v>123.5</v>
      </c>
      <c r="AB139">
        <v>132.4</v>
      </c>
      <c r="AC139">
        <v>122.1</v>
      </c>
      <c r="AD139" s="7">
        <v>123.4</v>
      </c>
      <c r="AE139">
        <v>131.4</v>
      </c>
    </row>
    <row r="140" spans="1:31" x14ac:dyDescent="0.3">
      <c r="A140" t="s">
        <v>30</v>
      </c>
      <c r="B140">
        <v>2016</v>
      </c>
      <c r="C140" t="s">
        <v>45</v>
      </c>
      <c r="D140" s="10" t="str">
        <f xml:space="preserve"> _xlfn.CONCAT(Table1[[#This Row],[Month]],",",Table1[[#This Row],[Year]])</f>
        <v>November,2016</v>
      </c>
      <c r="E140">
        <v>132</v>
      </c>
      <c r="F140">
        <v>137.4</v>
      </c>
      <c r="G140">
        <v>130.6</v>
      </c>
      <c r="H140">
        <v>136.19999999999999</v>
      </c>
      <c r="I140">
        <v>121.1</v>
      </c>
      <c r="J140">
        <v>136.9</v>
      </c>
      <c r="K140">
        <v>141.80000000000001</v>
      </c>
      <c r="L140">
        <v>170</v>
      </c>
      <c r="M140">
        <v>113.4</v>
      </c>
      <c r="N140">
        <v>136.80000000000001</v>
      </c>
      <c r="O140">
        <v>128.69999999999999</v>
      </c>
      <c r="P140">
        <v>143.1</v>
      </c>
      <c r="Q140" s="3">
        <v>136.6</v>
      </c>
      <c r="R140" s="7">
        <v>141.19999999999999</v>
      </c>
      <c r="S140">
        <v>139.9</v>
      </c>
      <c r="T140">
        <v>134.5</v>
      </c>
      <c r="U140" s="5">
        <v>139.19999999999999</v>
      </c>
      <c r="V140" s="6" t="s">
        <v>32</v>
      </c>
      <c r="W140" s="4">
        <v>130.30000000000001</v>
      </c>
      <c r="X140">
        <v>132.1</v>
      </c>
      <c r="Y140">
        <v>129.1</v>
      </c>
      <c r="Z140">
        <v>118.2</v>
      </c>
      <c r="AA140">
        <v>126.9</v>
      </c>
      <c r="AB140">
        <v>133.69999999999999</v>
      </c>
      <c r="AC140">
        <v>123.5</v>
      </c>
      <c r="AD140" s="7">
        <v>126.1</v>
      </c>
      <c r="AE140">
        <v>133.6</v>
      </c>
    </row>
    <row r="141" spans="1:31" x14ac:dyDescent="0.3">
      <c r="A141" t="s">
        <v>33</v>
      </c>
      <c r="B141">
        <v>2016</v>
      </c>
      <c r="C141" t="s">
        <v>45</v>
      </c>
      <c r="D141" s="10" t="str">
        <f xml:space="preserve"> _xlfn.CONCAT(Table1[[#This Row],[Month]],",",Table1[[#This Row],[Year]])</f>
        <v>November,2016</v>
      </c>
      <c r="E141">
        <v>130.19999999999999</v>
      </c>
      <c r="F141">
        <v>138.5</v>
      </c>
      <c r="G141">
        <v>134.1</v>
      </c>
      <c r="H141">
        <v>132.9</v>
      </c>
      <c r="I141">
        <v>112.6</v>
      </c>
      <c r="J141">
        <v>130.80000000000001</v>
      </c>
      <c r="K141">
        <v>142</v>
      </c>
      <c r="L141">
        <v>174.9</v>
      </c>
      <c r="M141">
        <v>115.6</v>
      </c>
      <c r="N141">
        <v>145.4</v>
      </c>
      <c r="O141">
        <v>122.7</v>
      </c>
      <c r="P141">
        <v>140.30000000000001</v>
      </c>
      <c r="Q141" s="3">
        <v>135.19999999999999</v>
      </c>
      <c r="R141" s="7">
        <v>144.30000000000001</v>
      </c>
      <c r="S141">
        <v>129.6</v>
      </c>
      <c r="T141">
        <v>122.1</v>
      </c>
      <c r="U141" s="5">
        <v>128.5</v>
      </c>
      <c r="V141" s="6">
        <v>129.1</v>
      </c>
      <c r="W141" s="4">
        <v>116.2</v>
      </c>
      <c r="X141">
        <v>124.7</v>
      </c>
      <c r="Y141">
        <v>122.1</v>
      </c>
      <c r="Z141">
        <v>113.4</v>
      </c>
      <c r="AA141">
        <v>121.7</v>
      </c>
      <c r="AB141">
        <v>132.1</v>
      </c>
      <c r="AC141">
        <v>121.3</v>
      </c>
      <c r="AD141" s="7">
        <v>121.3</v>
      </c>
      <c r="AE141">
        <v>128.5</v>
      </c>
    </row>
    <row r="142" spans="1:31" x14ac:dyDescent="0.3">
      <c r="A142" t="s">
        <v>34</v>
      </c>
      <c r="B142">
        <v>2016</v>
      </c>
      <c r="C142" t="s">
        <v>45</v>
      </c>
      <c r="D142" s="10" t="str">
        <f xml:space="preserve"> _xlfn.CONCAT(Table1[[#This Row],[Month]],",",Table1[[#This Row],[Year]])</f>
        <v>November,2016</v>
      </c>
      <c r="E142">
        <v>131.4</v>
      </c>
      <c r="F142">
        <v>137.80000000000001</v>
      </c>
      <c r="G142">
        <v>132</v>
      </c>
      <c r="H142">
        <v>135</v>
      </c>
      <c r="I142">
        <v>118</v>
      </c>
      <c r="J142">
        <v>134.1</v>
      </c>
      <c r="K142">
        <v>141.9</v>
      </c>
      <c r="L142">
        <v>171.7</v>
      </c>
      <c r="M142">
        <v>114.1</v>
      </c>
      <c r="N142">
        <v>139.69999999999999</v>
      </c>
      <c r="O142">
        <v>126.2</v>
      </c>
      <c r="P142">
        <v>141.80000000000001</v>
      </c>
      <c r="Q142" s="3">
        <v>136.1</v>
      </c>
      <c r="R142" s="7">
        <v>142</v>
      </c>
      <c r="S142">
        <v>135.80000000000001</v>
      </c>
      <c r="T142">
        <v>129.30000000000001</v>
      </c>
      <c r="U142" s="5">
        <v>135</v>
      </c>
      <c r="V142" s="6">
        <v>129.1</v>
      </c>
      <c r="W142" s="4">
        <v>125</v>
      </c>
      <c r="X142">
        <v>128.6</v>
      </c>
      <c r="Y142">
        <v>126.4</v>
      </c>
      <c r="Z142">
        <v>115.7</v>
      </c>
      <c r="AA142">
        <v>124</v>
      </c>
      <c r="AB142">
        <v>132.80000000000001</v>
      </c>
      <c r="AC142">
        <v>122.6</v>
      </c>
      <c r="AD142" s="7">
        <v>123.8</v>
      </c>
      <c r="AE142">
        <v>131.19999999999999</v>
      </c>
    </row>
    <row r="143" spans="1:31" x14ac:dyDescent="0.3">
      <c r="A143" t="s">
        <v>30</v>
      </c>
      <c r="B143">
        <v>2016</v>
      </c>
      <c r="C143" t="s">
        <v>46</v>
      </c>
      <c r="D143" s="10" t="str">
        <f xml:space="preserve"> _xlfn.CONCAT(Table1[[#This Row],[Month]],",",Table1[[#This Row],[Year]])</f>
        <v>December,2016</v>
      </c>
      <c r="E143">
        <v>132.6</v>
      </c>
      <c r="F143">
        <v>137.30000000000001</v>
      </c>
      <c r="G143">
        <v>131.6</v>
      </c>
      <c r="H143">
        <v>136.30000000000001</v>
      </c>
      <c r="I143">
        <v>121.6</v>
      </c>
      <c r="J143">
        <v>135.6</v>
      </c>
      <c r="K143">
        <v>127.5</v>
      </c>
      <c r="L143">
        <v>167.9</v>
      </c>
      <c r="M143">
        <v>113.8</v>
      </c>
      <c r="N143">
        <v>137.5</v>
      </c>
      <c r="O143">
        <v>129.1</v>
      </c>
      <c r="P143">
        <v>143.6</v>
      </c>
      <c r="Q143" s="3">
        <v>134.69999999999999</v>
      </c>
      <c r="R143" s="7">
        <v>142.4</v>
      </c>
      <c r="S143">
        <v>140.4</v>
      </c>
      <c r="T143">
        <v>135.19999999999999</v>
      </c>
      <c r="U143" s="5">
        <v>139.69999999999999</v>
      </c>
      <c r="V143" s="6" t="s">
        <v>32</v>
      </c>
      <c r="W143" s="4">
        <v>132</v>
      </c>
      <c r="X143">
        <v>132.9</v>
      </c>
      <c r="Y143">
        <v>129.69999999999999</v>
      </c>
      <c r="Z143">
        <v>118.6</v>
      </c>
      <c r="AA143">
        <v>127.3</v>
      </c>
      <c r="AB143">
        <v>134.19999999999999</v>
      </c>
      <c r="AC143">
        <v>121.9</v>
      </c>
      <c r="AD143" s="7">
        <v>126.3</v>
      </c>
      <c r="AE143">
        <v>132.80000000000001</v>
      </c>
    </row>
    <row r="144" spans="1:31" x14ac:dyDescent="0.3">
      <c r="A144" t="s">
        <v>33</v>
      </c>
      <c r="B144">
        <v>2016</v>
      </c>
      <c r="C144" t="s">
        <v>46</v>
      </c>
      <c r="D144" s="10" t="str">
        <f xml:space="preserve"> _xlfn.CONCAT(Table1[[#This Row],[Month]],",",Table1[[#This Row],[Year]])</f>
        <v>December,2016</v>
      </c>
      <c r="E144">
        <v>131.6</v>
      </c>
      <c r="F144">
        <v>138.19999999999999</v>
      </c>
      <c r="G144">
        <v>134.9</v>
      </c>
      <c r="H144">
        <v>133.1</v>
      </c>
      <c r="I144">
        <v>113.5</v>
      </c>
      <c r="J144">
        <v>129.30000000000001</v>
      </c>
      <c r="K144">
        <v>121.1</v>
      </c>
      <c r="L144">
        <v>170.3</v>
      </c>
      <c r="M144">
        <v>115.5</v>
      </c>
      <c r="N144">
        <v>145.5</v>
      </c>
      <c r="O144">
        <v>123.1</v>
      </c>
      <c r="P144">
        <v>140.9</v>
      </c>
      <c r="Q144" s="3">
        <v>132.80000000000001</v>
      </c>
      <c r="R144" s="7">
        <v>145</v>
      </c>
      <c r="S144">
        <v>130</v>
      </c>
      <c r="T144">
        <v>122.2</v>
      </c>
      <c r="U144" s="5">
        <v>128.80000000000001</v>
      </c>
      <c r="V144" s="6">
        <v>128.5</v>
      </c>
      <c r="W144" s="4">
        <v>117.8</v>
      </c>
      <c r="X144">
        <v>125</v>
      </c>
      <c r="Y144">
        <v>122.3</v>
      </c>
      <c r="Z144">
        <v>113.7</v>
      </c>
      <c r="AA144">
        <v>121.8</v>
      </c>
      <c r="AB144">
        <v>132.30000000000001</v>
      </c>
      <c r="AC144">
        <v>119.9</v>
      </c>
      <c r="AD144" s="7">
        <v>121.4</v>
      </c>
      <c r="AE144">
        <v>127.6</v>
      </c>
    </row>
    <row r="145" spans="1:31" x14ac:dyDescent="0.3">
      <c r="A145" t="s">
        <v>34</v>
      </c>
      <c r="B145">
        <v>2016</v>
      </c>
      <c r="C145" t="s">
        <v>46</v>
      </c>
      <c r="D145" s="10" t="str">
        <f xml:space="preserve"> _xlfn.CONCAT(Table1[[#This Row],[Month]],",",Table1[[#This Row],[Year]])</f>
        <v>December,2016</v>
      </c>
      <c r="E145">
        <v>132.30000000000001</v>
      </c>
      <c r="F145">
        <v>137.6</v>
      </c>
      <c r="G145">
        <v>132.9</v>
      </c>
      <c r="H145">
        <v>135.1</v>
      </c>
      <c r="I145">
        <v>118.6</v>
      </c>
      <c r="J145">
        <v>132.69999999999999</v>
      </c>
      <c r="K145">
        <v>125.3</v>
      </c>
      <c r="L145">
        <v>168.7</v>
      </c>
      <c r="M145">
        <v>114.4</v>
      </c>
      <c r="N145">
        <v>140.19999999999999</v>
      </c>
      <c r="O145">
        <v>126.6</v>
      </c>
      <c r="P145">
        <v>142.30000000000001</v>
      </c>
      <c r="Q145" s="3">
        <v>134</v>
      </c>
      <c r="R145" s="7">
        <v>143.1</v>
      </c>
      <c r="S145">
        <v>136.30000000000001</v>
      </c>
      <c r="T145">
        <v>129.80000000000001</v>
      </c>
      <c r="U145" s="5">
        <v>135.4</v>
      </c>
      <c r="V145" s="6">
        <v>128.5</v>
      </c>
      <c r="W145" s="4">
        <v>126.6</v>
      </c>
      <c r="X145">
        <v>129.19999999999999</v>
      </c>
      <c r="Y145">
        <v>126.9</v>
      </c>
      <c r="Z145">
        <v>116</v>
      </c>
      <c r="AA145">
        <v>124.2</v>
      </c>
      <c r="AB145">
        <v>133.1</v>
      </c>
      <c r="AC145">
        <v>121.1</v>
      </c>
      <c r="AD145" s="7">
        <v>123.9</v>
      </c>
      <c r="AE145">
        <v>130.4</v>
      </c>
    </row>
    <row r="146" spans="1:31" x14ac:dyDescent="0.3">
      <c r="A146" t="s">
        <v>30</v>
      </c>
      <c r="B146">
        <v>2017</v>
      </c>
      <c r="C146" t="s">
        <v>31</v>
      </c>
      <c r="D146" s="10" t="str">
        <f xml:space="preserve"> _xlfn.CONCAT(Table1[[#This Row],[Month]],",",Table1[[#This Row],[Year]])</f>
        <v>January,2017</v>
      </c>
      <c r="E146">
        <v>133.1</v>
      </c>
      <c r="F146">
        <v>137.80000000000001</v>
      </c>
      <c r="G146">
        <v>131.9</v>
      </c>
      <c r="H146">
        <v>136.69999999999999</v>
      </c>
      <c r="I146">
        <v>122</v>
      </c>
      <c r="J146">
        <v>136</v>
      </c>
      <c r="K146">
        <v>119.8</v>
      </c>
      <c r="L146">
        <v>161.69999999999999</v>
      </c>
      <c r="M146">
        <v>114.8</v>
      </c>
      <c r="N146">
        <v>136.9</v>
      </c>
      <c r="O146">
        <v>129</v>
      </c>
      <c r="P146">
        <v>143.9</v>
      </c>
      <c r="Q146" s="3">
        <v>133.69999999999999</v>
      </c>
      <c r="R146" s="7">
        <v>143.1</v>
      </c>
      <c r="S146">
        <v>140.69999999999999</v>
      </c>
      <c r="T146">
        <v>135.80000000000001</v>
      </c>
      <c r="U146" s="5">
        <v>140</v>
      </c>
      <c r="V146" s="6" t="s">
        <v>32</v>
      </c>
      <c r="W146" s="4">
        <v>132.1</v>
      </c>
      <c r="X146">
        <v>133.19999999999999</v>
      </c>
      <c r="Y146">
        <v>129.9</v>
      </c>
      <c r="Z146">
        <v>119.1</v>
      </c>
      <c r="AA146">
        <v>127</v>
      </c>
      <c r="AB146">
        <v>134.6</v>
      </c>
      <c r="AC146">
        <v>122.3</v>
      </c>
      <c r="AD146" s="7">
        <v>126.6</v>
      </c>
      <c r="AE146">
        <v>132.4</v>
      </c>
    </row>
    <row r="147" spans="1:31" x14ac:dyDescent="0.3">
      <c r="A147" t="s">
        <v>33</v>
      </c>
      <c r="B147">
        <v>2017</v>
      </c>
      <c r="C147" t="s">
        <v>31</v>
      </c>
      <c r="D147" s="10" t="str">
        <f xml:space="preserve"> _xlfn.CONCAT(Table1[[#This Row],[Month]],",",Table1[[#This Row],[Year]])</f>
        <v>January,2017</v>
      </c>
      <c r="E147">
        <v>132.19999999999999</v>
      </c>
      <c r="F147">
        <v>138.9</v>
      </c>
      <c r="G147">
        <v>132.6</v>
      </c>
      <c r="H147">
        <v>133.1</v>
      </c>
      <c r="I147">
        <v>114</v>
      </c>
      <c r="J147">
        <v>129.6</v>
      </c>
      <c r="K147">
        <v>118.7</v>
      </c>
      <c r="L147">
        <v>155.1</v>
      </c>
      <c r="M147">
        <v>117.3</v>
      </c>
      <c r="N147">
        <v>144.9</v>
      </c>
      <c r="O147">
        <v>123.2</v>
      </c>
      <c r="P147">
        <v>141.6</v>
      </c>
      <c r="Q147" s="3">
        <v>132</v>
      </c>
      <c r="R147" s="7">
        <v>145.6</v>
      </c>
      <c r="S147">
        <v>130.19999999999999</v>
      </c>
      <c r="T147">
        <v>122.3</v>
      </c>
      <c r="U147" s="5">
        <v>129</v>
      </c>
      <c r="V147" s="6">
        <v>129.6</v>
      </c>
      <c r="W147" s="4">
        <v>118</v>
      </c>
      <c r="X147">
        <v>125.1</v>
      </c>
      <c r="Y147">
        <v>122.6</v>
      </c>
      <c r="Z147">
        <v>115.2</v>
      </c>
      <c r="AA147">
        <v>122</v>
      </c>
      <c r="AB147">
        <v>132.4</v>
      </c>
      <c r="AC147">
        <v>120.9</v>
      </c>
      <c r="AD147" s="7">
        <v>122.1</v>
      </c>
      <c r="AE147">
        <v>127.8</v>
      </c>
    </row>
    <row r="148" spans="1:31" x14ac:dyDescent="0.3">
      <c r="A148" t="s">
        <v>34</v>
      </c>
      <c r="B148">
        <v>2017</v>
      </c>
      <c r="C148" t="s">
        <v>31</v>
      </c>
      <c r="D148" s="10" t="str">
        <f xml:space="preserve"> _xlfn.CONCAT(Table1[[#This Row],[Month]],",",Table1[[#This Row],[Year]])</f>
        <v>January,2017</v>
      </c>
      <c r="E148">
        <v>132.80000000000001</v>
      </c>
      <c r="F148">
        <v>138.19999999999999</v>
      </c>
      <c r="G148">
        <v>132.19999999999999</v>
      </c>
      <c r="H148">
        <v>135.4</v>
      </c>
      <c r="I148">
        <v>119.1</v>
      </c>
      <c r="J148">
        <v>133</v>
      </c>
      <c r="K148">
        <v>119.4</v>
      </c>
      <c r="L148">
        <v>159.5</v>
      </c>
      <c r="M148">
        <v>115.6</v>
      </c>
      <c r="N148">
        <v>139.6</v>
      </c>
      <c r="O148">
        <v>126.6</v>
      </c>
      <c r="P148">
        <v>142.80000000000001</v>
      </c>
      <c r="Q148" s="3">
        <v>133.1</v>
      </c>
      <c r="R148" s="7">
        <v>143.80000000000001</v>
      </c>
      <c r="S148">
        <v>136.6</v>
      </c>
      <c r="T148">
        <v>130.19999999999999</v>
      </c>
      <c r="U148" s="5">
        <v>135.6</v>
      </c>
      <c r="V148" s="6">
        <v>129.6</v>
      </c>
      <c r="W148" s="4">
        <v>126.8</v>
      </c>
      <c r="X148">
        <v>129.4</v>
      </c>
      <c r="Y148">
        <v>127.1</v>
      </c>
      <c r="Z148">
        <v>117</v>
      </c>
      <c r="AA148">
        <v>124.2</v>
      </c>
      <c r="AB148">
        <v>133.30000000000001</v>
      </c>
      <c r="AC148">
        <v>121.7</v>
      </c>
      <c r="AD148" s="7">
        <v>124.4</v>
      </c>
      <c r="AE148">
        <v>130.30000000000001</v>
      </c>
    </row>
    <row r="149" spans="1:31" x14ac:dyDescent="0.3">
      <c r="A149" t="s">
        <v>30</v>
      </c>
      <c r="B149">
        <v>2017</v>
      </c>
      <c r="C149" t="s">
        <v>35</v>
      </c>
      <c r="D149" s="10" t="str">
        <f xml:space="preserve"> _xlfn.CONCAT(Table1[[#This Row],[Month]],",",Table1[[#This Row],[Year]])</f>
        <v>February,2017</v>
      </c>
      <c r="E149">
        <v>133.30000000000001</v>
      </c>
      <c r="F149">
        <v>138.30000000000001</v>
      </c>
      <c r="G149">
        <v>129.30000000000001</v>
      </c>
      <c r="H149">
        <v>137.19999999999999</v>
      </c>
      <c r="I149">
        <v>122.1</v>
      </c>
      <c r="J149">
        <v>138.69999999999999</v>
      </c>
      <c r="K149">
        <v>119.1</v>
      </c>
      <c r="L149">
        <v>156.9</v>
      </c>
      <c r="M149">
        <v>116.2</v>
      </c>
      <c r="N149">
        <v>136</v>
      </c>
      <c r="O149">
        <v>129.4</v>
      </c>
      <c r="P149">
        <v>144.4</v>
      </c>
      <c r="Q149" s="3">
        <v>133.6</v>
      </c>
      <c r="R149" s="7">
        <v>143.69999999999999</v>
      </c>
      <c r="S149">
        <v>140.9</v>
      </c>
      <c r="T149">
        <v>135.80000000000001</v>
      </c>
      <c r="U149" s="5">
        <v>140.19999999999999</v>
      </c>
      <c r="V149" s="6" t="s">
        <v>32</v>
      </c>
      <c r="W149" s="4">
        <v>133.19999999999999</v>
      </c>
      <c r="X149">
        <v>133.6</v>
      </c>
      <c r="Y149">
        <v>130.1</v>
      </c>
      <c r="Z149">
        <v>119.5</v>
      </c>
      <c r="AA149">
        <v>127.7</v>
      </c>
      <c r="AB149">
        <v>134.9</v>
      </c>
      <c r="AC149">
        <v>123.2</v>
      </c>
      <c r="AD149" s="7">
        <v>127</v>
      </c>
      <c r="AE149">
        <v>132.6</v>
      </c>
    </row>
    <row r="150" spans="1:31" x14ac:dyDescent="0.3">
      <c r="A150" t="s">
        <v>33</v>
      </c>
      <c r="B150">
        <v>2017</v>
      </c>
      <c r="C150" t="s">
        <v>35</v>
      </c>
      <c r="D150" s="10" t="str">
        <f xml:space="preserve"> _xlfn.CONCAT(Table1[[#This Row],[Month]],",",Table1[[#This Row],[Year]])</f>
        <v>February,2017</v>
      </c>
      <c r="E150">
        <v>132.80000000000001</v>
      </c>
      <c r="F150">
        <v>139.80000000000001</v>
      </c>
      <c r="G150">
        <v>129.30000000000001</v>
      </c>
      <c r="H150">
        <v>133.5</v>
      </c>
      <c r="I150">
        <v>114.3</v>
      </c>
      <c r="J150">
        <v>131.4</v>
      </c>
      <c r="K150">
        <v>120.2</v>
      </c>
      <c r="L150">
        <v>143.1</v>
      </c>
      <c r="M150">
        <v>119.5</v>
      </c>
      <c r="N150">
        <v>144</v>
      </c>
      <c r="O150">
        <v>123.4</v>
      </c>
      <c r="P150">
        <v>141.9</v>
      </c>
      <c r="Q150" s="3">
        <v>132.1</v>
      </c>
      <c r="R150" s="7">
        <v>146.30000000000001</v>
      </c>
      <c r="S150">
        <v>130.5</v>
      </c>
      <c r="T150">
        <v>122.5</v>
      </c>
      <c r="U150" s="5">
        <v>129.30000000000001</v>
      </c>
      <c r="V150" s="6">
        <v>130.5</v>
      </c>
      <c r="W150" s="4">
        <v>119.2</v>
      </c>
      <c r="X150">
        <v>125.3</v>
      </c>
      <c r="Y150">
        <v>122.9</v>
      </c>
      <c r="Z150">
        <v>115.5</v>
      </c>
      <c r="AA150">
        <v>122.2</v>
      </c>
      <c r="AB150">
        <v>132.4</v>
      </c>
      <c r="AC150">
        <v>121.7</v>
      </c>
      <c r="AD150" s="7">
        <v>122.4</v>
      </c>
      <c r="AE150">
        <v>128.19999999999999</v>
      </c>
    </row>
    <row r="151" spans="1:31" x14ac:dyDescent="0.3">
      <c r="A151" t="s">
        <v>34</v>
      </c>
      <c r="B151">
        <v>2017</v>
      </c>
      <c r="C151" t="s">
        <v>35</v>
      </c>
      <c r="D151" s="10" t="str">
        <f xml:space="preserve"> _xlfn.CONCAT(Table1[[#This Row],[Month]],",",Table1[[#This Row],[Year]])</f>
        <v>February,2017</v>
      </c>
      <c r="E151">
        <v>133.1</v>
      </c>
      <c r="F151">
        <v>138.80000000000001</v>
      </c>
      <c r="G151">
        <v>129.30000000000001</v>
      </c>
      <c r="H151">
        <v>135.80000000000001</v>
      </c>
      <c r="I151">
        <v>119.2</v>
      </c>
      <c r="J151">
        <v>135.30000000000001</v>
      </c>
      <c r="K151">
        <v>119.5</v>
      </c>
      <c r="L151">
        <v>152.19999999999999</v>
      </c>
      <c r="M151">
        <v>117.3</v>
      </c>
      <c r="N151">
        <v>138.69999999999999</v>
      </c>
      <c r="O151">
        <v>126.9</v>
      </c>
      <c r="P151">
        <v>143.19999999999999</v>
      </c>
      <c r="Q151" s="3">
        <v>133</v>
      </c>
      <c r="R151" s="7">
        <v>144.4</v>
      </c>
      <c r="S151">
        <v>136.80000000000001</v>
      </c>
      <c r="T151">
        <v>130.30000000000001</v>
      </c>
      <c r="U151" s="5">
        <v>135.9</v>
      </c>
      <c r="V151" s="6">
        <v>130.5</v>
      </c>
      <c r="W151" s="4">
        <v>127.9</v>
      </c>
      <c r="X151">
        <v>129.69999999999999</v>
      </c>
      <c r="Y151">
        <v>127.4</v>
      </c>
      <c r="Z151">
        <v>117.4</v>
      </c>
      <c r="AA151">
        <v>124.6</v>
      </c>
      <c r="AB151">
        <v>133.4</v>
      </c>
      <c r="AC151">
        <v>122.6</v>
      </c>
      <c r="AD151" s="7">
        <v>124.8</v>
      </c>
      <c r="AE151">
        <v>130.6</v>
      </c>
    </row>
    <row r="152" spans="1:31" x14ac:dyDescent="0.3">
      <c r="A152" t="s">
        <v>30</v>
      </c>
      <c r="B152">
        <v>2017</v>
      </c>
      <c r="C152" t="s">
        <v>36</v>
      </c>
      <c r="D152" s="10" t="str">
        <f xml:space="preserve"> _xlfn.CONCAT(Table1[[#This Row],[Month]],",",Table1[[#This Row],[Year]])</f>
        <v>March,2017</v>
      </c>
      <c r="E152">
        <v>133.6</v>
      </c>
      <c r="F152">
        <v>138.80000000000001</v>
      </c>
      <c r="G152">
        <v>128.80000000000001</v>
      </c>
      <c r="H152">
        <v>137.19999999999999</v>
      </c>
      <c r="I152">
        <v>121.6</v>
      </c>
      <c r="J152">
        <v>139.69999999999999</v>
      </c>
      <c r="K152">
        <v>119.7</v>
      </c>
      <c r="L152">
        <v>148</v>
      </c>
      <c r="M152">
        <v>116.9</v>
      </c>
      <c r="N152">
        <v>135.6</v>
      </c>
      <c r="O152">
        <v>129.80000000000001</v>
      </c>
      <c r="P152">
        <v>145.4</v>
      </c>
      <c r="Q152" s="3">
        <v>133.4</v>
      </c>
      <c r="R152" s="7">
        <v>144.19999999999999</v>
      </c>
      <c r="S152">
        <v>141.6</v>
      </c>
      <c r="T152">
        <v>136.19999999999999</v>
      </c>
      <c r="U152" s="5">
        <v>140.80000000000001</v>
      </c>
      <c r="V152" s="6" t="s">
        <v>32</v>
      </c>
      <c r="W152" s="4">
        <v>134.19999999999999</v>
      </c>
      <c r="X152">
        <v>134.1</v>
      </c>
      <c r="Y152">
        <v>130.6</v>
      </c>
      <c r="Z152">
        <v>119.8</v>
      </c>
      <c r="AA152">
        <v>128.30000000000001</v>
      </c>
      <c r="AB152">
        <v>135.19999999999999</v>
      </c>
      <c r="AC152">
        <v>123.3</v>
      </c>
      <c r="AD152" s="7">
        <v>127.4</v>
      </c>
      <c r="AE152">
        <v>132.80000000000001</v>
      </c>
    </row>
    <row r="153" spans="1:31" x14ac:dyDescent="0.3">
      <c r="A153" t="s">
        <v>33</v>
      </c>
      <c r="B153">
        <v>2017</v>
      </c>
      <c r="C153" t="s">
        <v>36</v>
      </c>
      <c r="D153" s="10" t="str">
        <f xml:space="preserve"> _xlfn.CONCAT(Table1[[#This Row],[Month]],",",Table1[[#This Row],[Year]])</f>
        <v>March,2017</v>
      </c>
      <c r="E153">
        <v>132.69999999999999</v>
      </c>
      <c r="F153">
        <v>139.4</v>
      </c>
      <c r="G153">
        <v>128.4</v>
      </c>
      <c r="H153">
        <v>134.9</v>
      </c>
      <c r="I153">
        <v>114</v>
      </c>
      <c r="J153">
        <v>136.80000000000001</v>
      </c>
      <c r="K153">
        <v>122.2</v>
      </c>
      <c r="L153">
        <v>135.80000000000001</v>
      </c>
      <c r="M153">
        <v>120.3</v>
      </c>
      <c r="N153">
        <v>142.6</v>
      </c>
      <c r="O153">
        <v>123.6</v>
      </c>
      <c r="P153">
        <v>142.4</v>
      </c>
      <c r="Q153" s="3">
        <v>132.6</v>
      </c>
      <c r="R153" s="7">
        <v>147.5</v>
      </c>
      <c r="S153">
        <v>130.80000000000001</v>
      </c>
      <c r="T153">
        <v>122.8</v>
      </c>
      <c r="U153" s="5">
        <v>129.6</v>
      </c>
      <c r="V153" s="6">
        <v>131.1</v>
      </c>
      <c r="W153" s="4">
        <v>120.8</v>
      </c>
      <c r="X153">
        <v>125.6</v>
      </c>
      <c r="Y153">
        <v>123.1</v>
      </c>
      <c r="Z153">
        <v>115.6</v>
      </c>
      <c r="AA153">
        <v>122.4</v>
      </c>
      <c r="AB153">
        <v>132.80000000000001</v>
      </c>
      <c r="AC153">
        <v>121.7</v>
      </c>
      <c r="AD153" s="7">
        <v>122.6</v>
      </c>
      <c r="AE153">
        <v>128.69999999999999</v>
      </c>
    </row>
    <row r="154" spans="1:31" x14ac:dyDescent="0.3">
      <c r="A154" t="s">
        <v>34</v>
      </c>
      <c r="B154">
        <v>2017</v>
      </c>
      <c r="C154" t="s">
        <v>36</v>
      </c>
      <c r="D154" s="10" t="str">
        <f xml:space="preserve"> _xlfn.CONCAT(Table1[[#This Row],[Month]],",",Table1[[#This Row],[Year]])</f>
        <v>March,2017</v>
      </c>
      <c r="E154">
        <v>133.30000000000001</v>
      </c>
      <c r="F154">
        <v>139</v>
      </c>
      <c r="G154">
        <v>128.6</v>
      </c>
      <c r="H154">
        <v>136.30000000000001</v>
      </c>
      <c r="I154">
        <v>118.8</v>
      </c>
      <c r="J154">
        <v>138.30000000000001</v>
      </c>
      <c r="K154">
        <v>120.5</v>
      </c>
      <c r="L154">
        <v>143.9</v>
      </c>
      <c r="M154">
        <v>118</v>
      </c>
      <c r="N154">
        <v>137.9</v>
      </c>
      <c r="O154">
        <v>127.2</v>
      </c>
      <c r="P154">
        <v>144</v>
      </c>
      <c r="Q154" s="3">
        <v>133.1</v>
      </c>
      <c r="R154" s="7">
        <v>145.1</v>
      </c>
      <c r="S154">
        <v>137.30000000000001</v>
      </c>
      <c r="T154">
        <v>130.6</v>
      </c>
      <c r="U154" s="5">
        <v>136.4</v>
      </c>
      <c r="V154" s="6">
        <v>131.1</v>
      </c>
      <c r="W154" s="4">
        <v>129.1</v>
      </c>
      <c r="X154">
        <v>130.1</v>
      </c>
      <c r="Y154">
        <v>127.8</v>
      </c>
      <c r="Z154">
        <v>117.6</v>
      </c>
      <c r="AA154">
        <v>125</v>
      </c>
      <c r="AB154">
        <v>133.80000000000001</v>
      </c>
      <c r="AC154">
        <v>122.6</v>
      </c>
      <c r="AD154" s="7">
        <v>125.1</v>
      </c>
      <c r="AE154">
        <v>130.9</v>
      </c>
    </row>
    <row r="155" spans="1:31" x14ac:dyDescent="0.3">
      <c r="A155" t="s">
        <v>30</v>
      </c>
      <c r="B155">
        <v>2017</v>
      </c>
      <c r="C155" t="s">
        <v>37</v>
      </c>
      <c r="D155" s="10" t="str">
        <f xml:space="preserve"> _xlfn.CONCAT(Table1[[#This Row],[Month]],",",Table1[[#This Row],[Year]])</f>
        <v>April,2017</v>
      </c>
      <c r="E155">
        <v>133.19999999999999</v>
      </c>
      <c r="F155">
        <v>138.69999999999999</v>
      </c>
      <c r="G155">
        <v>127.1</v>
      </c>
      <c r="H155">
        <v>137.69999999999999</v>
      </c>
      <c r="I155">
        <v>121.3</v>
      </c>
      <c r="J155">
        <v>141.80000000000001</v>
      </c>
      <c r="K155">
        <v>121.5</v>
      </c>
      <c r="L155">
        <v>144.5</v>
      </c>
      <c r="M155">
        <v>117.4</v>
      </c>
      <c r="N155">
        <v>134.1</v>
      </c>
      <c r="O155">
        <v>130</v>
      </c>
      <c r="P155">
        <v>145.5</v>
      </c>
      <c r="Q155" s="3">
        <v>133.5</v>
      </c>
      <c r="R155" s="7">
        <v>144.4</v>
      </c>
      <c r="S155">
        <v>142.4</v>
      </c>
      <c r="T155">
        <v>136.80000000000001</v>
      </c>
      <c r="U155" s="5">
        <v>141.6</v>
      </c>
      <c r="V155" s="6" t="s">
        <v>32</v>
      </c>
      <c r="W155" s="4">
        <v>135</v>
      </c>
      <c r="X155">
        <v>134.30000000000001</v>
      </c>
      <c r="Y155">
        <v>131</v>
      </c>
      <c r="Z155">
        <v>119.2</v>
      </c>
      <c r="AA155">
        <v>128.30000000000001</v>
      </c>
      <c r="AB155">
        <v>135.69999999999999</v>
      </c>
      <c r="AC155">
        <v>123.7</v>
      </c>
      <c r="AD155" s="7">
        <v>127.5</v>
      </c>
      <c r="AE155">
        <v>132.9</v>
      </c>
    </row>
    <row r="156" spans="1:31" x14ac:dyDescent="0.3">
      <c r="A156" t="s">
        <v>33</v>
      </c>
      <c r="B156">
        <v>2017</v>
      </c>
      <c r="C156" t="s">
        <v>37</v>
      </c>
      <c r="D156" s="10" t="str">
        <f xml:space="preserve"> _xlfn.CONCAT(Table1[[#This Row],[Month]],",",Table1[[#This Row],[Year]])</f>
        <v>April,2017</v>
      </c>
      <c r="E156">
        <v>132.69999999999999</v>
      </c>
      <c r="F156">
        <v>140.6</v>
      </c>
      <c r="G156">
        <v>124.5</v>
      </c>
      <c r="H156">
        <v>136.30000000000001</v>
      </c>
      <c r="I156">
        <v>113.5</v>
      </c>
      <c r="J156">
        <v>137.69999999999999</v>
      </c>
      <c r="K156">
        <v>127.1</v>
      </c>
      <c r="L156">
        <v>133.80000000000001</v>
      </c>
      <c r="M156">
        <v>120.8</v>
      </c>
      <c r="N156">
        <v>141.30000000000001</v>
      </c>
      <c r="O156">
        <v>123.8</v>
      </c>
      <c r="P156">
        <v>142.6</v>
      </c>
      <c r="Q156" s="3">
        <v>133.4</v>
      </c>
      <c r="R156" s="7">
        <v>148</v>
      </c>
      <c r="S156">
        <v>131.19999999999999</v>
      </c>
      <c r="T156">
        <v>123</v>
      </c>
      <c r="U156" s="5">
        <v>130</v>
      </c>
      <c r="V156" s="6">
        <v>131.69999999999999</v>
      </c>
      <c r="W156" s="4">
        <v>121.4</v>
      </c>
      <c r="X156">
        <v>126</v>
      </c>
      <c r="Y156">
        <v>123.4</v>
      </c>
      <c r="Z156">
        <v>114.3</v>
      </c>
      <c r="AA156">
        <v>122.6</v>
      </c>
      <c r="AB156">
        <v>133.6</v>
      </c>
      <c r="AC156">
        <v>122.2</v>
      </c>
      <c r="AD156" s="7">
        <v>122.5</v>
      </c>
      <c r="AE156">
        <v>129.1</v>
      </c>
    </row>
    <row r="157" spans="1:31" x14ac:dyDescent="0.3">
      <c r="A157" t="s">
        <v>34</v>
      </c>
      <c r="B157">
        <v>2017</v>
      </c>
      <c r="C157" t="s">
        <v>37</v>
      </c>
      <c r="D157" s="10" t="str">
        <f xml:space="preserve"> _xlfn.CONCAT(Table1[[#This Row],[Month]],",",Table1[[#This Row],[Year]])</f>
        <v>April,2017</v>
      </c>
      <c r="E157">
        <v>133</v>
      </c>
      <c r="F157">
        <v>139.4</v>
      </c>
      <c r="G157">
        <v>126.1</v>
      </c>
      <c r="H157">
        <v>137.19999999999999</v>
      </c>
      <c r="I157">
        <v>118.4</v>
      </c>
      <c r="J157">
        <v>139.9</v>
      </c>
      <c r="K157">
        <v>123.4</v>
      </c>
      <c r="L157">
        <v>140.9</v>
      </c>
      <c r="M157">
        <v>118.5</v>
      </c>
      <c r="N157">
        <v>136.5</v>
      </c>
      <c r="O157">
        <v>127.4</v>
      </c>
      <c r="P157">
        <v>144.19999999999999</v>
      </c>
      <c r="Q157" s="3">
        <v>133.5</v>
      </c>
      <c r="R157" s="7">
        <v>145.4</v>
      </c>
      <c r="S157">
        <v>138</v>
      </c>
      <c r="T157">
        <v>131.1</v>
      </c>
      <c r="U157" s="5">
        <v>137</v>
      </c>
      <c r="V157" s="6">
        <v>131.69999999999999</v>
      </c>
      <c r="W157" s="4">
        <v>129.80000000000001</v>
      </c>
      <c r="X157">
        <v>130.4</v>
      </c>
      <c r="Y157">
        <v>128.1</v>
      </c>
      <c r="Z157">
        <v>116.6</v>
      </c>
      <c r="AA157">
        <v>125.1</v>
      </c>
      <c r="AB157">
        <v>134.5</v>
      </c>
      <c r="AC157">
        <v>123.1</v>
      </c>
      <c r="AD157" s="7">
        <v>125.1</v>
      </c>
      <c r="AE157">
        <v>131.1</v>
      </c>
    </row>
    <row r="158" spans="1:31" x14ac:dyDescent="0.3">
      <c r="A158" t="s">
        <v>30</v>
      </c>
      <c r="B158">
        <v>2017</v>
      </c>
      <c r="C158" t="s">
        <v>38</v>
      </c>
      <c r="D158" s="10" t="str">
        <f xml:space="preserve"> _xlfn.CONCAT(Table1[[#This Row],[Month]],",",Table1[[#This Row],[Year]])</f>
        <v>May,2017</v>
      </c>
      <c r="E158">
        <v>133.1</v>
      </c>
      <c r="F158">
        <v>140.30000000000001</v>
      </c>
      <c r="G158">
        <v>126.8</v>
      </c>
      <c r="H158">
        <v>138.19999999999999</v>
      </c>
      <c r="I158">
        <v>120.8</v>
      </c>
      <c r="J158">
        <v>140.19999999999999</v>
      </c>
      <c r="K158">
        <v>123.8</v>
      </c>
      <c r="L158">
        <v>141.80000000000001</v>
      </c>
      <c r="M158">
        <v>118.6</v>
      </c>
      <c r="N158">
        <v>134</v>
      </c>
      <c r="O158">
        <v>130.30000000000001</v>
      </c>
      <c r="P158">
        <v>145.80000000000001</v>
      </c>
      <c r="Q158" s="3">
        <v>133.80000000000001</v>
      </c>
      <c r="R158" s="7">
        <v>145.5</v>
      </c>
      <c r="S158">
        <v>142.5</v>
      </c>
      <c r="T158">
        <v>137.30000000000001</v>
      </c>
      <c r="U158" s="5">
        <v>141.80000000000001</v>
      </c>
      <c r="V158" s="6" t="s">
        <v>32</v>
      </c>
      <c r="W158" s="4">
        <v>135</v>
      </c>
      <c r="X158">
        <v>134.9</v>
      </c>
      <c r="Y158">
        <v>131.4</v>
      </c>
      <c r="Z158">
        <v>119.4</v>
      </c>
      <c r="AA158">
        <v>129.4</v>
      </c>
      <c r="AB158">
        <v>136.30000000000001</v>
      </c>
      <c r="AC158">
        <v>123.7</v>
      </c>
      <c r="AD158" s="7">
        <v>127.9</v>
      </c>
      <c r="AE158">
        <v>133.30000000000001</v>
      </c>
    </row>
    <row r="159" spans="1:31" x14ac:dyDescent="0.3">
      <c r="A159" t="s">
        <v>33</v>
      </c>
      <c r="B159">
        <v>2017</v>
      </c>
      <c r="C159" t="s">
        <v>38</v>
      </c>
      <c r="D159" s="10" t="str">
        <f xml:space="preserve"> _xlfn.CONCAT(Table1[[#This Row],[Month]],",",Table1[[#This Row],[Year]])</f>
        <v>May,2017</v>
      </c>
      <c r="E159">
        <v>132.6</v>
      </c>
      <c r="F159">
        <v>144.1</v>
      </c>
      <c r="G159">
        <v>125.6</v>
      </c>
      <c r="H159">
        <v>136.80000000000001</v>
      </c>
      <c r="I159">
        <v>113.4</v>
      </c>
      <c r="J159">
        <v>135.19999999999999</v>
      </c>
      <c r="K159">
        <v>129.19999999999999</v>
      </c>
      <c r="L159">
        <v>131.5</v>
      </c>
      <c r="M159">
        <v>121</v>
      </c>
      <c r="N159">
        <v>139.9</v>
      </c>
      <c r="O159">
        <v>123.8</v>
      </c>
      <c r="P159">
        <v>142.9</v>
      </c>
      <c r="Q159" s="3">
        <v>133.6</v>
      </c>
      <c r="R159" s="7">
        <v>148.30000000000001</v>
      </c>
      <c r="S159">
        <v>131.5</v>
      </c>
      <c r="T159">
        <v>123.2</v>
      </c>
      <c r="U159" s="5">
        <v>130.19999999999999</v>
      </c>
      <c r="V159" s="6">
        <v>132.1</v>
      </c>
      <c r="W159" s="4">
        <v>120.1</v>
      </c>
      <c r="X159">
        <v>126.5</v>
      </c>
      <c r="Y159">
        <v>123.6</v>
      </c>
      <c r="Z159">
        <v>114.3</v>
      </c>
      <c r="AA159">
        <v>122.8</v>
      </c>
      <c r="AB159">
        <v>133.80000000000001</v>
      </c>
      <c r="AC159">
        <v>122</v>
      </c>
      <c r="AD159" s="7">
        <v>122.6</v>
      </c>
      <c r="AE159">
        <v>129.30000000000001</v>
      </c>
    </row>
    <row r="160" spans="1:31" x14ac:dyDescent="0.3">
      <c r="A160" t="s">
        <v>34</v>
      </c>
      <c r="B160">
        <v>2017</v>
      </c>
      <c r="C160" t="s">
        <v>38</v>
      </c>
      <c r="D160" s="10" t="str">
        <f xml:space="preserve"> _xlfn.CONCAT(Table1[[#This Row],[Month]],",",Table1[[#This Row],[Year]])</f>
        <v>May,2017</v>
      </c>
      <c r="E160">
        <v>132.9</v>
      </c>
      <c r="F160">
        <v>141.6</v>
      </c>
      <c r="G160">
        <v>126.3</v>
      </c>
      <c r="H160">
        <v>137.69999999999999</v>
      </c>
      <c r="I160">
        <v>118.1</v>
      </c>
      <c r="J160">
        <v>137.9</v>
      </c>
      <c r="K160">
        <v>125.6</v>
      </c>
      <c r="L160">
        <v>138.30000000000001</v>
      </c>
      <c r="M160">
        <v>119.4</v>
      </c>
      <c r="N160">
        <v>136</v>
      </c>
      <c r="O160">
        <v>127.6</v>
      </c>
      <c r="P160">
        <v>144.5</v>
      </c>
      <c r="Q160" s="3">
        <v>133.69999999999999</v>
      </c>
      <c r="R160" s="7">
        <v>146.19999999999999</v>
      </c>
      <c r="S160">
        <v>138.19999999999999</v>
      </c>
      <c r="T160">
        <v>131.4</v>
      </c>
      <c r="U160" s="5">
        <v>137.19999999999999</v>
      </c>
      <c r="V160" s="6">
        <v>132.1</v>
      </c>
      <c r="W160" s="4">
        <v>129.4</v>
      </c>
      <c r="X160">
        <v>130.9</v>
      </c>
      <c r="Y160">
        <v>128.4</v>
      </c>
      <c r="Z160">
        <v>116.7</v>
      </c>
      <c r="AA160">
        <v>125.7</v>
      </c>
      <c r="AB160">
        <v>134.80000000000001</v>
      </c>
      <c r="AC160">
        <v>123</v>
      </c>
      <c r="AD160" s="7">
        <v>125.3</v>
      </c>
      <c r="AE160">
        <v>131.4</v>
      </c>
    </row>
    <row r="161" spans="1:31" x14ac:dyDescent="0.3">
      <c r="A161" t="s">
        <v>30</v>
      </c>
      <c r="B161">
        <v>2017</v>
      </c>
      <c r="C161" t="s">
        <v>39</v>
      </c>
      <c r="D161" s="10" t="str">
        <f xml:space="preserve"> _xlfn.CONCAT(Table1[[#This Row],[Month]],",",Table1[[#This Row],[Year]])</f>
        <v>June,2017</v>
      </c>
      <c r="E161">
        <v>133.5</v>
      </c>
      <c r="F161">
        <v>143.69999999999999</v>
      </c>
      <c r="G161">
        <v>128</v>
      </c>
      <c r="H161">
        <v>138.6</v>
      </c>
      <c r="I161">
        <v>120.9</v>
      </c>
      <c r="J161">
        <v>140.9</v>
      </c>
      <c r="K161">
        <v>128.80000000000001</v>
      </c>
      <c r="L161">
        <v>140.19999999999999</v>
      </c>
      <c r="M161">
        <v>118.9</v>
      </c>
      <c r="N161">
        <v>133.5</v>
      </c>
      <c r="O161">
        <v>130.4</v>
      </c>
      <c r="P161">
        <v>146.5</v>
      </c>
      <c r="Q161" s="3">
        <v>134.9</v>
      </c>
      <c r="R161" s="7">
        <v>145.80000000000001</v>
      </c>
      <c r="S161">
        <v>143.1</v>
      </c>
      <c r="T161">
        <v>137.69999999999999</v>
      </c>
      <c r="U161" s="5">
        <v>142.30000000000001</v>
      </c>
      <c r="V161" s="6" t="s">
        <v>32</v>
      </c>
      <c r="W161" s="4">
        <v>134.80000000000001</v>
      </c>
      <c r="X161">
        <v>135.19999999999999</v>
      </c>
      <c r="Y161">
        <v>131.30000000000001</v>
      </c>
      <c r="Z161">
        <v>119.4</v>
      </c>
      <c r="AA161">
        <v>129.80000000000001</v>
      </c>
      <c r="AB161">
        <v>136.9</v>
      </c>
      <c r="AC161">
        <v>124.1</v>
      </c>
      <c r="AD161" s="7">
        <v>128.1</v>
      </c>
      <c r="AE161">
        <v>133.9</v>
      </c>
    </row>
    <row r="162" spans="1:31" x14ac:dyDescent="0.3">
      <c r="A162" t="s">
        <v>33</v>
      </c>
      <c r="B162">
        <v>2017</v>
      </c>
      <c r="C162" t="s">
        <v>39</v>
      </c>
      <c r="D162" s="10" t="str">
        <f xml:space="preserve"> _xlfn.CONCAT(Table1[[#This Row],[Month]],",",Table1[[#This Row],[Year]])</f>
        <v>June,2017</v>
      </c>
      <c r="E162">
        <v>132.9</v>
      </c>
      <c r="F162">
        <v>148.69999999999999</v>
      </c>
      <c r="G162">
        <v>128.30000000000001</v>
      </c>
      <c r="H162">
        <v>137.30000000000001</v>
      </c>
      <c r="I162">
        <v>113.5</v>
      </c>
      <c r="J162">
        <v>137.19999999999999</v>
      </c>
      <c r="K162">
        <v>142.19999999999999</v>
      </c>
      <c r="L162">
        <v>128.19999999999999</v>
      </c>
      <c r="M162">
        <v>120.9</v>
      </c>
      <c r="N162">
        <v>138.80000000000001</v>
      </c>
      <c r="O162">
        <v>124.2</v>
      </c>
      <c r="P162">
        <v>143.1</v>
      </c>
      <c r="Q162" s="3">
        <v>135.69999999999999</v>
      </c>
      <c r="R162" s="7">
        <v>148.6</v>
      </c>
      <c r="S162">
        <v>131.5</v>
      </c>
      <c r="T162">
        <v>123.2</v>
      </c>
      <c r="U162" s="5">
        <v>130.19999999999999</v>
      </c>
      <c r="V162" s="6">
        <v>131.4</v>
      </c>
      <c r="W162" s="4">
        <v>119</v>
      </c>
      <c r="X162">
        <v>126.8</v>
      </c>
      <c r="Y162">
        <v>123.8</v>
      </c>
      <c r="Z162">
        <v>113.9</v>
      </c>
      <c r="AA162">
        <v>122.9</v>
      </c>
      <c r="AB162">
        <v>134.30000000000001</v>
      </c>
      <c r="AC162">
        <v>122.5</v>
      </c>
      <c r="AD162" s="7">
        <v>122.7</v>
      </c>
      <c r="AE162">
        <v>129.9</v>
      </c>
    </row>
    <row r="163" spans="1:31" x14ac:dyDescent="0.3">
      <c r="A163" t="s">
        <v>34</v>
      </c>
      <c r="B163">
        <v>2017</v>
      </c>
      <c r="C163" t="s">
        <v>39</v>
      </c>
      <c r="D163" s="10" t="str">
        <f xml:space="preserve"> _xlfn.CONCAT(Table1[[#This Row],[Month]],",",Table1[[#This Row],[Year]])</f>
        <v>June,2017</v>
      </c>
      <c r="E163">
        <v>133.30000000000001</v>
      </c>
      <c r="F163">
        <v>145.5</v>
      </c>
      <c r="G163">
        <v>128.1</v>
      </c>
      <c r="H163">
        <v>138.1</v>
      </c>
      <c r="I163">
        <v>118.2</v>
      </c>
      <c r="J163">
        <v>139.19999999999999</v>
      </c>
      <c r="K163">
        <v>133.30000000000001</v>
      </c>
      <c r="L163">
        <v>136.19999999999999</v>
      </c>
      <c r="M163">
        <v>119.6</v>
      </c>
      <c r="N163">
        <v>135.30000000000001</v>
      </c>
      <c r="O163">
        <v>127.8</v>
      </c>
      <c r="P163">
        <v>144.9</v>
      </c>
      <c r="Q163" s="3">
        <v>135.19999999999999</v>
      </c>
      <c r="R163" s="7">
        <v>146.5</v>
      </c>
      <c r="S163">
        <v>138.5</v>
      </c>
      <c r="T163">
        <v>131.69999999999999</v>
      </c>
      <c r="U163" s="5">
        <v>137.5</v>
      </c>
      <c r="V163" s="6">
        <v>131.4</v>
      </c>
      <c r="W163" s="4">
        <v>128.80000000000001</v>
      </c>
      <c r="X163">
        <v>131.19999999999999</v>
      </c>
      <c r="Y163">
        <v>128.5</v>
      </c>
      <c r="Z163">
        <v>116.5</v>
      </c>
      <c r="AA163">
        <v>125.9</v>
      </c>
      <c r="AB163">
        <v>135.4</v>
      </c>
      <c r="AC163">
        <v>123.4</v>
      </c>
      <c r="AD163" s="7">
        <v>125.5</v>
      </c>
      <c r="AE163">
        <v>132</v>
      </c>
    </row>
    <row r="164" spans="1:31" x14ac:dyDescent="0.3">
      <c r="A164" t="s">
        <v>30</v>
      </c>
      <c r="B164">
        <v>2017</v>
      </c>
      <c r="C164" t="s">
        <v>40</v>
      </c>
      <c r="D164" s="10" t="str">
        <f xml:space="preserve"> _xlfn.CONCAT(Table1[[#This Row],[Month]],",",Table1[[#This Row],[Year]])</f>
        <v>July,2017</v>
      </c>
      <c r="E164">
        <v>134</v>
      </c>
      <c r="F164">
        <v>144.19999999999999</v>
      </c>
      <c r="G164">
        <v>129.80000000000001</v>
      </c>
      <c r="H164">
        <v>139</v>
      </c>
      <c r="I164">
        <v>120.9</v>
      </c>
      <c r="J164">
        <v>143.9</v>
      </c>
      <c r="K164">
        <v>151.5</v>
      </c>
      <c r="L164">
        <v>138.1</v>
      </c>
      <c r="M164">
        <v>120</v>
      </c>
      <c r="N164">
        <v>133.9</v>
      </c>
      <c r="O164">
        <v>131.4</v>
      </c>
      <c r="P164">
        <v>147.69999999999999</v>
      </c>
      <c r="Q164" s="3">
        <v>138.5</v>
      </c>
      <c r="R164" s="7">
        <v>147.4</v>
      </c>
      <c r="S164">
        <v>144.30000000000001</v>
      </c>
      <c r="T164">
        <v>138.1</v>
      </c>
      <c r="U164" s="5">
        <v>143.5</v>
      </c>
      <c r="V164" s="6" t="s">
        <v>32</v>
      </c>
      <c r="W164" s="4">
        <v>135.30000000000001</v>
      </c>
      <c r="X164">
        <v>136.1</v>
      </c>
      <c r="Y164">
        <v>132.1</v>
      </c>
      <c r="Z164">
        <v>119.1</v>
      </c>
      <c r="AA164">
        <v>130.6</v>
      </c>
      <c r="AB164">
        <v>138.6</v>
      </c>
      <c r="AC164">
        <v>124.4</v>
      </c>
      <c r="AD164" s="7">
        <v>128.6</v>
      </c>
      <c r="AE164">
        <v>136.19999999999999</v>
      </c>
    </row>
    <row r="165" spans="1:31" x14ac:dyDescent="0.3">
      <c r="A165" t="s">
        <v>33</v>
      </c>
      <c r="B165">
        <v>2017</v>
      </c>
      <c r="C165" t="s">
        <v>40</v>
      </c>
      <c r="D165" s="10" t="str">
        <f xml:space="preserve"> _xlfn.CONCAT(Table1[[#This Row],[Month]],",",Table1[[#This Row],[Year]])</f>
        <v>July,2017</v>
      </c>
      <c r="E165">
        <v>132.80000000000001</v>
      </c>
      <c r="F165">
        <v>148.4</v>
      </c>
      <c r="G165">
        <v>129.4</v>
      </c>
      <c r="H165">
        <v>137.69999999999999</v>
      </c>
      <c r="I165">
        <v>113.4</v>
      </c>
      <c r="J165">
        <v>139.4</v>
      </c>
      <c r="K165">
        <v>175.1</v>
      </c>
      <c r="L165">
        <v>124.7</v>
      </c>
      <c r="M165">
        <v>121.5</v>
      </c>
      <c r="N165">
        <v>137.80000000000001</v>
      </c>
      <c r="O165">
        <v>124.4</v>
      </c>
      <c r="P165">
        <v>143.69999999999999</v>
      </c>
      <c r="Q165" s="3">
        <v>139.80000000000001</v>
      </c>
      <c r="R165" s="7">
        <v>150.5</v>
      </c>
      <c r="S165">
        <v>131.6</v>
      </c>
      <c r="T165">
        <v>123.7</v>
      </c>
      <c r="U165" s="5">
        <v>130.4</v>
      </c>
      <c r="V165" s="6">
        <v>132.6</v>
      </c>
      <c r="W165" s="4">
        <v>119.7</v>
      </c>
      <c r="X165">
        <v>127.2</v>
      </c>
      <c r="Y165">
        <v>125</v>
      </c>
      <c r="Z165">
        <v>113.2</v>
      </c>
      <c r="AA165">
        <v>123.5</v>
      </c>
      <c r="AB165">
        <v>135.5</v>
      </c>
      <c r="AC165">
        <v>122.4</v>
      </c>
      <c r="AD165" s="7">
        <v>123</v>
      </c>
      <c r="AE165">
        <v>131.80000000000001</v>
      </c>
    </row>
    <row r="166" spans="1:31" x14ac:dyDescent="0.3">
      <c r="A166" t="s">
        <v>34</v>
      </c>
      <c r="B166">
        <v>2017</v>
      </c>
      <c r="C166" t="s">
        <v>40</v>
      </c>
      <c r="D166" s="10" t="str">
        <f xml:space="preserve"> _xlfn.CONCAT(Table1[[#This Row],[Month]],",",Table1[[#This Row],[Year]])</f>
        <v>July,2017</v>
      </c>
      <c r="E166">
        <v>133.6</v>
      </c>
      <c r="F166">
        <v>145.69999999999999</v>
      </c>
      <c r="G166">
        <v>129.6</v>
      </c>
      <c r="H166">
        <v>138.5</v>
      </c>
      <c r="I166">
        <v>118.1</v>
      </c>
      <c r="J166">
        <v>141.80000000000001</v>
      </c>
      <c r="K166">
        <v>159.5</v>
      </c>
      <c r="L166">
        <v>133.6</v>
      </c>
      <c r="M166">
        <v>120.5</v>
      </c>
      <c r="N166">
        <v>135.19999999999999</v>
      </c>
      <c r="O166">
        <v>128.5</v>
      </c>
      <c r="P166">
        <v>145.80000000000001</v>
      </c>
      <c r="Q166" s="3">
        <v>139</v>
      </c>
      <c r="R166" s="7">
        <v>148.19999999999999</v>
      </c>
      <c r="S166">
        <v>139.30000000000001</v>
      </c>
      <c r="T166">
        <v>132.1</v>
      </c>
      <c r="U166" s="5">
        <v>138.30000000000001</v>
      </c>
      <c r="V166" s="6">
        <v>132.6</v>
      </c>
      <c r="W166" s="4">
        <v>129.4</v>
      </c>
      <c r="X166">
        <v>131.9</v>
      </c>
      <c r="Y166">
        <v>129.4</v>
      </c>
      <c r="Z166">
        <v>116</v>
      </c>
      <c r="AA166">
        <v>126.6</v>
      </c>
      <c r="AB166">
        <v>136.80000000000001</v>
      </c>
      <c r="AC166">
        <v>123.6</v>
      </c>
      <c r="AD166" s="7">
        <v>125.9</v>
      </c>
      <c r="AE166">
        <v>134.19999999999999</v>
      </c>
    </row>
    <row r="167" spans="1:31" x14ac:dyDescent="0.3">
      <c r="A167" t="s">
        <v>30</v>
      </c>
      <c r="B167">
        <v>2017</v>
      </c>
      <c r="C167" t="s">
        <v>41</v>
      </c>
      <c r="D167" s="10" t="str">
        <f xml:space="preserve"> _xlfn.CONCAT(Table1[[#This Row],[Month]],",",Table1[[#This Row],[Year]])</f>
        <v>August,2017</v>
      </c>
      <c r="E167">
        <v>134.80000000000001</v>
      </c>
      <c r="F167">
        <v>143.1</v>
      </c>
      <c r="G167">
        <v>130</v>
      </c>
      <c r="H167">
        <v>139.4</v>
      </c>
      <c r="I167">
        <v>120.5</v>
      </c>
      <c r="J167">
        <v>148</v>
      </c>
      <c r="K167">
        <v>162.9</v>
      </c>
      <c r="L167">
        <v>137.4</v>
      </c>
      <c r="M167">
        <v>120.8</v>
      </c>
      <c r="N167">
        <v>134.69999999999999</v>
      </c>
      <c r="O167">
        <v>131.6</v>
      </c>
      <c r="P167">
        <v>148.69999999999999</v>
      </c>
      <c r="Q167" s="3">
        <v>140.6</v>
      </c>
      <c r="R167" s="7">
        <v>149</v>
      </c>
      <c r="S167">
        <v>145.30000000000001</v>
      </c>
      <c r="T167">
        <v>139.19999999999999</v>
      </c>
      <c r="U167" s="5">
        <v>144.5</v>
      </c>
      <c r="V167" s="6" t="s">
        <v>32</v>
      </c>
      <c r="W167" s="4">
        <v>136.4</v>
      </c>
      <c r="X167">
        <v>137.30000000000001</v>
      </c>
      <c r="Y167">
        <v>133</v>
      </c>
      <c r="Z167">
        <v>120.3</v>
      </c>
      <c r="AA167">
        <v>131.5</v>
      </c>
      <c r="AB167">
        <v>140.19999999999999</v>
      </c>
      <c r="AC167">
        <v>125.4</v>
      </c>
      <c r="AD167" s="7">
        <v>129.69999999999999</v>
      </c>
      <c r="AE167">
        <v>137.80000000000001</v>
      </c>
    </row>
    <row r="168" spans="1:31" x14ac:dyDescent="0.3">
      <c r="A168" t="s">
        <v>33</v>
      </c>
      <c r="B168">
        <v>2017</v>
      </c>
      <c r="C168" t="s">
        <v>41</v>
      </c>
      <c r="D168" s="10" t="str">
        <f xml:space="preserve"> _xlfn.CONCAT(Table1[[#This Row],[Month]],",",Table1[[#This Row],[Year]])</f>
        <v>August,2017</v>
      </c>
      <c r="E168">
        <v>133.19999999999999</v>
      </c>
      <c r="F168">
        <v>143.9</v>
      </c>
      <c r="G168">
        <v>128.30000000000001</v>
      </c>
      <c r="H168">
        <v>138.30000000000001</v>
      </c>
      <c r="I168">
        <v>114.1</v>
      </c>
      <c r="J168">
        <v>142.69999999999999</v>
      </c>
      <c r="K168">
        <v>179.8</v>
      </c>
      <c r="L168">
        <v>123.5</v>
      </c>
      <c r="M168">
        <v>122.1</v>
      </c>
      <c r="N168">
        <v>137.5</v>
      </c>
      <c r="O168">
        <v>124.6</v>
      </c>
      <c r="P168">
        <v>144.5</v>
      </c>
      <c r="Q168" s="3">
        <v>140.5</v>
      </c>
      <c r="R168" s="7">
        <v>152.1</v>
      </c>
      <c r="S168">
        <v>132.69999999999999</v>
      </c>
      <c r="T168">
        <v>124.3</v>
      </c>
      <c r="U168" s="5">
        <v>131.4</v>
      </c>
      <c r="V168" s="6">
        <v>134.4</v>
      </c>
      <c r="W168" s="4">
        <v>118.9</v>
      </c>
      <c r="X168">
        <v>127.7</v>
      </c>
      <c r="Y168">
        <v>125.7</v>
      </c>
      <c r="Z168">
        <v>114.6</v>
      </c>
      <c r="AA168">
        <v>124.1</v>
      </c>
      <c r="AB168">
        <v>135.69999999999999</v>
      </c>
      <c r="AC168">
        <v>123.3</v>
      </c>
      <c r="AD168" s="7">
        <v>123.8</v>
      </c>
      <c r="AE168">
        <v>132.69999999999999</v>
      </c>
    </row>
    <row r="169" spans="1:31" x14ac:dyDescent="0.3">
      <c r="A169" t="s">
        <v>34</v>
      </c>
      <c r="B169">
        <v>2017</v>
      </c>
      <c r="C169" t="s">
        <v>41</v>
      </c>
      <c r="D169" s="10" t="str">
        <f xml:space="preserve"> _xlfn.CONCAT(Table1[[#This Row],[Month]],",",Table1[[#This Row],[Year]])</f>
        <v>August,2017</v>
      </c>
      <c r="E169">
        <v>134.30000000000001</v>
      </c>
      <c r="F169">
        <v>143.4</v>
      </c>
      <c r="G169">
        <v>129.30000000000001</v>
      </c>
      <c r="H169">
        <v>139</v>
      </c>
      <c r="I169">
        <v>118.1</v>
      </c>
      <c r="J169">
        <v>145.5</v>
      </c>
      <c r="K169">
        <v>168.6</v>
      </c>
      <c r="L169">
        <v>132.69999999999999</v>
      </c>
      <c r="M169">
        <v>121.2</v>
      </c>
      <c r="N169">
        <v>135.6</v>
      </c>
      <c r="O169">
        <v>128.69999999999999</v>
      </c>
      <c r="P169">
        <v>146.80000000000001</v>
      </c>
      <c r="Q169" s="3">
        <v>140.6</v>
      </c>
      <c r="R169" s="7">
        <v>149.80000000000001</v>
      </c>
      <c r="S169">
        <v>140.30000000000001</v>
      </c>
      <c r="T169">
        <v>133</v>
      </c>
      <c r="U169" s="5">
        <v>139.30000000000001</v>
      </c>
      <c r="V169" s="6">
        <v>134.4</v>
      </c>
      <c r="W169" s="4">
        <v>129.80000000000001</v>
      </c>
      <c r="X169">
        <v>132.80000000000001</v>
      </c>
      <c r="Y169">
        <v>130.19999999999999</v>
      </c>
      <c r="Z169">
        <v>117.3</v>
      </c>
      <c r="AA169">
        <v>127.3</v>
      </c>
      <c r="AB169">
        <v>137.6</v>
      </c>
      <c r="AC169">
        <v>124.5</v>
      </c>
      <c r="AD169" s="7">
        <v>126.8</v>
      </c>
      <c r="AE169">
        <v>135.4</v>
      </c>
    </row>
    <row r="170" spans="1:31" x14ac:dyDescent="0.3">
      <c r="A170" t="s">
        <v>30</v>
      </c>
      <c r="B170">
        <v>2017</v>
      </c>
      <c r="C170" t="s">
        <v>42</v>
      </c>
      <c r="D170" s="10" t="str">
        <f xml:space="preserve"> _xlfn.CONCAT(Table1[[#This Row],[Month]],",",Table1[[#This Row],[Year]])</f>
        <v>September,2017</v>
      </c>
      <c r="E170">
        <v>135.19999999999999</v>
      </c>
      <c r="F170">
        <v>142</v>
      </c>
      <c r="G170">
        <v>130.5</v>
      </c>
      <c r="H170">
        <v>140.19999999999999</v>
      </c>
      <c r="I170">
        <v>120.7</v>
      </c>
      <c r="J170">
        <v>147.80000000000001</v>
      </c>
      <c r="K170">
        <v>154.5</v>
      </c>
      <c r="L170">
        <v>137.1</v>
      </c>
      <c r="M170">
        <v>121</v>
      </c>
      <c r="N170">
        <v>134.69999999999999</v>
      </c>
      <c r="O170">
        <v>131.69999999999999</v>
      </c>
      <c r="P170">
        <v>149.30000000000001</v>
      </c>
      <c r="Q170" s="3">
        <v>139.6</v>
      </c>
      <c r="R170" s="7">
        <v>149.80000000000001</v>
      </c>
      <c r="S170">
        <v>146.1</v>
      </c>
      <c r="T170">
        <v>139.69999999999999</v>
      </c>
      <c r="U170" s="5">
        <v>145.19999999999999</v>
      </c>
      <c r="V170" s="6" t="s">
        <v>32</v>
      </c>
      <c r="W170" s="4">
        <v>137.4</v>
      </c>
      <c r="X170">
        <v>137.9</v>
      </c>
      <c r="Y170">
        <v>133.4</v>
      </c>
      <c r="Z170">
        <v>121.2</v>
      </c>
      <c r="AA170">
        <v>132.30000000000001</v>
      </c>
      <c r="AB170">
        <v>139.6</v>
      </c>
      <c r="AC170">
        <v>126.7</v>
      </c>
      <c r="AD170" s="7">
        <v>130.30000000000001</v>
      </c>
      <c r="AE170">
        <v>137.6</v>
      </c>
    </row>
    <row r="171" spans="1:31" x14ac:dyDescent="0.3">
      <c r="A171" t="s">
        <v>33</v>
      </c>
      <c r="B171">
        <v>2017</v>
      </c>
      <c r="C171" t="s">
        <v>42</v>
      </c>
      <c r="D171" s="10" t="str">
        <f xml:space="preserve"> _xlfn.CONCAT(Table1[[#This Row],[Month]],",",Table1[[#This Row],[Year]])</f>
        <v>September,2017</v>
      </c>
      <c r="E171">
        <v>133.6</v>
      </c>
      <c r="F171">
        <v>143</v>
      </c>
      <c r="G171">
        <v>129.69999999999999</v>
      </c>
      <c r="H171">
        <v>138.69999999999999</v>
      </c>
      <c r="I171">
        <v>114.5</v>
      </c>
      <c r="J171">
        <v>137.5</v>
      </c>
      <c r="K171">
        <v>160.69999999999999</v>
      </c>
      <c r="L171">
        <v>124.5</v>
      </c>
      <c r="M171">
        <v>122.4</v>
      </c>
      <c r="N171">
        <v>137.30000000000001</v>
      </c>
      <c r="O171">
        <v>124.8</v>
      </c>
      <c r="P171">
        <v>145</v>
      </c>
      <c r="Q171" s="3">
        <v>138</v>
      </c>
      <c r="R171" s="7">
        <v>153.6</v>
      </c>
      <c r="S171">
        <v>133.30000000000001</v>
      </c>
      <c r="T171">
        <v>124.6</v>
      </c>
      <c r="U171" s="5">
        <v>132</v>
      </c>
      <c r="V171" s="6">
        <v>135.69999999999999</v>
      </c>
      <c r="W171" s="4">
        <v>120.6</v>
      </c>
      <c r="X171">
        <v>128.1</v>
      </c>
      <c r="Y171">
        <v>126.1</v>
      </c>
      <c r="Z171">
        <v>115.7</v>
      </c>
      <c r="AA171">
        <v>124.5</v>
      </c>
      <c r="AB171">
        <v>135.9</v>
      </c>
      <c r="AC171">
        <v>124.4</v>
      </c>
      <c r="AD171" s="7">
        <v>124.5</v>
      </c>
      <c r="AE171">
        <v>132.4</v>
      </c>
    </row>
    <row r="172" spans="1:31" x14ac:dyDescent="0.3">
      <c r="A172" t="s">
        <v>34</v>
      </c>
      <c r="B172">
        <v>2017</v>
      </c>
      <c r="C172" t="s">
        <v>42</v>
      </c>
      <c r="D172" s="10" t="str">
        <f xml:space="preserve"> _xlfn.CONCAT(Table1[[#This Row],[Month]],",",Table1[[#This Row],[Year]])</f>
        <v>September,2017</v>
      </c>
      <c r="E172">
        <v>134.69999999999999</v>
      </c>
      <c r="F172">
        <v>142.4</v>
      </c>
      <c r="G172">
        <v>130.19999999999999</v>
      </c>
      <c r="H172">
        <v>139.6</v>
      </c>
      <c r="I172">
        <v>118.4</v>
      </c>
      <c r="J172">
        <v>143</v>
      </c>
      <c r="K172">
        <v>156.6</v>
      </c>
      <c r="L172">
        <v>132.9</v>
      </c>
      <c r="M172">
        <v>121.5</v>
      </c>
      <c r="N172">
        <v>135.6</v>
      </c>
      <c r="O172">
        <v>128.80000000000001</v>
      </c>
      <c r="P172">
        <v>147.30000000000001</v>
      </c>
      <c r="Q172" s="3">
        <v>139</v>
      </c>
      <c r="R172" s="7">
        <v>150.80000000000001</v>
      </c>
      <c r="S172">
        <v>141.1</v>
      </c>
      <c r="T172">
        <v>133.4</v>
      </c>
      <c r="U172" s="5">
        <v>140</v>
      </c>
      <c r="V172" s="6">
        <v>135.69999999999999</v>
      </c>
      <c r="W172" s="4">
        <v>131</v>
      </c>
      <c r="X172">
        <v>133.30000000000001</v>
      </c>
      <c r="Y172">
        <v>130.6</v>
      </c>
      <c r="Z172">
        <v>118.3</v>
      </c>
      <c r="AA172">
        <v>127.9</v>
      </c>
      <c r="AB172">
        <v>137.4</v>
      </c>
      <c r="AC172">
        <v>125.7</v>
      </c>
      <c r="AD172" s="7">
        <v>127.5</v>
      </c>
      <c r="AE172">
        <v>135.19999999999999</v>
      </c>
    </row>
    <row r="173" spans="1:31" x14ac:dyDescent="0.3">
      <c r="A173" t="s">
        <v>30</v>
      </c>
      <c r="B173">
        <v>2017</v>
      </c>
      <c r="C173" t="s">
        <v>43</v>
      </c>
      <c r="D173" s="10" t="str">
        <f xml:space="preserve"> _xlfn.CONCAT(Table1[[#This Row],[Month]],",",Table1[[#This Row],[Year]])</f>
        <v>October,2017</v>
      </c>
      <c r="E173">
        <v>135.9</v>
      </c>
      <c r="F173">
        <v>141.9</v>
      </c>
      <c r="G173">
        <v>131</v>
      </c>
      <c r="H173">
        <v>141.5</v>
      </c>
      <c r="I173">
        <v>121.4</v>
      </c>
      <c r="J173">
        <v>146.69999999999999</v>
      </c>
      <c r="K173">
        <v>157.1</v>
      </c>
      <c r="L173">
        <v>136.4</v>
      </c>
      <c r="M173">
        <v>121.4</v>
      </c>
      <c r="N173">
        <v>135.6</v>
      </c>
      <c r="O173">
        <v>131.30000000000001</v>
      </c>
      <c r="P173">
        <v>150.30000000000001</v>
      </c>
      <c r="Q173" s="3">
        <v>140.4</v>
      </c>
      <c r="R173" s="7">
        <v>150.5</v>
      </c>
      <c r="S173">
        <v>147.19999999999999</v>
      </c>
      <c r="T173">
        <v>140.6</v>
      </c>
      <c r="U173" s="5">
        <v>146.19999999999999</v>
      </c>
      <c r="V173" s="6" t="s">
        <v>32</v>
      </c>
      <c r="W173" s="4">
        <v>138.1</v>
      </c>
      <c r="X173">
        <v>138.4</v>
      </c>
      <c r="Y173">
        <v>134.19999999999999</v>
      </c>
      <c r="Z173">
        <v>121</v>
      </c>
      <c r="AA173">
        <v>133</v>
      </c>
      <c r="AB173">
        <v>140.1</v>
      </c>
      <c r="AC173">
        <v>127.4</v>
      </c>
      <c r="AD173" s="7">
        <v>130.69999999999999</v>
      </c>
      <c r="AE173">
        <v>138.30000000000001</v>
      </c>
    </row>
    <row r="174" spans="1:31" x14ac:dyDescent="0.3">
      <c r="A174" t="s">
        <v>33</v>
      </c>
      <c r="B174">
        <v>2017</v>
      </c>
      <c r="C174" t="s">
        <v>43</v>
      </c>
      <c r="D174" s="10" t="str">
        <f xml:space="preserve"> _xlfn.CONCAT(Table1[[#This Row],[Month]],",",Table1[[#This Row],[Year]])</f>
        <v>October,2017</v>
      </c>
      <c r="E174">
        <v>133.9</v>
      </c>
      <c r="F174">
        <v>142.80000000000001</v>
      </c>
      <c r="G174">
        <v>131.4</v>
      </c>
      <c r="H174">
        <v>139.1</v>
      </c>
      <c r="I174">
        <v>114.9</v>
      </c>
      <c r="J174">
        <v>135.6</v>
      </c>
      <c r="K174">
        <v>173.2</v>
      </c>
      <c r="L174">
        <v>124.1</v>
      </c>
      <c r="M174">
        <v>122.6</v>
      </c>
      <c r="N174">
        <v>137.80000000000001</v>
      </c>
      <c r="O174">
        <v>125.1</v>
      </c>
      <c r="P174">
        <v>145.5</v>
      </c>
      <c r="Q174" s="3">
        <v>139.69999999999999</v>
      </c>
      <c r="R174" s="7">
        <v>154.6</v>
      </c>
      <c r="S174">
        <v>134</v>
      </c>
      <c r="T174">
        <v>124.9</v>
      </c>
      <c r="U174" s="5">
        <v>132.6</v>
      </c>
      <c r="V174" s="6">
        <v>137.30000000000001</v>
      </c>
      <c r="W174" s="4">
        <v>122.6</v>
      </c>
      <c r="X174">
        <v>128.30000000000001</v>
      </c>
      <c r="Y174">
        <v>126.6</v>
      </c>
      <c r="Z174">
        <v>115</v>
      </c>
      <c r="AA174">
        <v>124.8</v>
      </c>
      <c r="AB174">
        <v>136.30000000000001</v>
      </c>
      <c r="AC174">
        <v>124.6</v>
      </c>
      <c r="AD174" s="7">
        <v>124.5</v>
      </c>
      <c r="AE174">
        <v>133.5</v>
      </c>
    </row>
    <row r="175" spans="1:31" x14ac:dyDescent="0.3">
      <c r="A175" t="s">
        <v>34</v>
      </c>
      <c r="B175">
        <v>2017</v>
      </c>
      <c r="C175" t="s">
        <v>43</v>
      </c>
      <c r="D175" s="10" t="str">
        <f xml:space="preserve"> _xlfn.CONCAT(Table1[[#This Row],[Month]],",",Table1[[#This Row],[Year]])</f>
        <v>October,2017</v>
      </c>
      <c r="E175">
        <v>135.30000000000001</v>
      </c>
      <c r="F175">
        <v>142.19999999999999</v>
      </c>
      <c r="G175">
        <v>131.19999999999999</v>
      </c>
      <c r="H175">
        <v>140.6</v>
      </c>
      <c r="I175">
        <v>119</v>
      </c>
      <c r="J175">
        <v>141.5</v>
      </c>
      <c r="K175">
        <v>162.6</v>
      </c>
      <c r="L175">
        <v>132.30000000000001</v>
      </c>
      <c r="M175">
        <v>121.8</v>
      </c>
      <c r="N175">
        <v>136.30000000000001</v>
      </c>
      <c r="O175">
        <v>128.69999999999999</v>
      </c>
      <c r="P175">
        <v>148.1</v>
      </c>
      <c r="Q175" s="3">
        <v>140.1</v>
      </c>
      <c r="R175" s="7">
        <v>151.6</v>
      </c>
      <c r="S175">
        <v>142</v>
      </c>
      <c r="T175">
        <v>134.1</v>
      </c>
      <c r="U175" s="5">
        <v>140.80000000000001</v>
      </c>
      <c r="V175" s="6">
        <v>137.30000000000001</v>
      </c>
      <c r="W175" s="4">
        <v>132.19999999999999</v>
      </c>
      <c r="X175">
        <v>133.6</v>
      </c>
      <c r="Y175">
        <v>131.30000000000001</v>
      </c>
      <c r="Z175">
        <v>117.8</v>
      </c>
      <c r="AA175">
        <v>128.4</v>
      </c>
      <c r="AB175">
        <v>137.9</v>
      </c>
      <c r="AC175">
        <v>126.2</v>
      </c>
      <c r="AD175" s="7">
        <v>127.7</v>
      </c>
      <c r="AE175">
        <v>136.1</v>
      </c>
    </row>
    <row r="176" spans="1:31" x14ac:dyDescent="0.3">
      <c r="A176" t="s">
        <v>30</v>
      </c>
      <c r="B176">
        <v>2017</v>
      </c>
      <c r="C176" t="s">
        <v>45</v>
      </c>
      <c r="D176" s="10" t="str">
        <f xml:space="preserve"> _xlfn.CONCAT(Table1[[#This Row],[Month]],",",Table1[[#This Row],[Year]])</f>
        <v>November,2017</v>
      </c>
      <c r="E176">
        <v>136.30000000000001</v>
      </c>
      <c r="F176">
        <v>142.5</v>
      </c>
      <c r="G176">
        <v>140.5</v>
      </c>
      <c r="H176">
        <v>141.5</v>
      </c>
      <c r="I176">
        <v>121.6</v>
      </c>
      <c r="J176">
        <v>147.30000000000001</v>
      </c>
      <c r="K176">
        <v>168</v>
      </c>
      <c r="L176">
        <v>135.80000000000001</v>
      </c>
      <c r="M176">
        <v>122.5</v>
      </c>
      <c r="N176">
        <v>136</v>
      </c>
      <c r="O176">
        <v>131.9</v>
      </c>
      <c r="P176">
        <v>151.4</v>
      </c>
      <c r="Q176" s="3">
        <v>142.4</v>
      </c>
      <c r="R176" s="7">
        <v>152.1</v>
      </c>
      <c r="S176">
        <v>148.19999999999999</v>
      </c>
      <c r="T176">
        <v>141.5</v>
      </c>
      <c r="U176" s="5">
        <v>147.30000000000001</v>
      </c>
      <c r="V176" s="6" t="s">
        <v>32</v>
      </c>
      <c r="W176" s="4">
        <v>141.1</v>
      </c>
      <c r="X176">
        <v>139.4</v>
      </c>
      <c r="Y176">
        <v>135.80000000000001</v>
      </c>
      <c r="Z176">
        <v>121.6</v>
      </c>
      <c r="AA176">
        <v>133.69999999999999</v>
      </c>
      <c r="AB176">
        <v>141.5</v>
      </c>
      <c r="AC176">
        <v>128.1</v>
      </c>
      <c r="AD176" s="7">
        <v>131.69999999999999</v>
      </c>
      <c r="AE176">
        <v>140</v>
      </c>
    </row>
    <row r="177" spans="1:31" x14ac:dyDescent="0.3">
      <c r="A177" t="s">
        <v>33</v>
      </c>
      <c r="B177">
        <v>2017</v>
      </c>
      <c r="C177" t="s">
        <v>45</v>
      </c>
      <c r="D177" s="10" t="str">
        <f xml:space="preserve"> _xlfn.CONCAT(Table1[[#This Row],[Month]],",",Table1[[#This Row],[Year]])</f>
        <v>November,2017</v>
      </c>
      <c r="E177">
        <v>134.30000000000001</v>
      </c>
      <c r="F177">
        <v>142.1</v>
      </c>
      <c r="G177">
        <v>146.69999999999999</v>
      </c>
      <c r="H177">
        <v>139.5</v>
      </c>
      <c r="I177">
        <v>115.2</v>
      </c>
      <c r="J177">
        <v>136.4</v>
      </c>
      <c r="K177">
        <v>185.2</v>
      </c>
      <c r="L177">
        <v>122.2</v>
      </c>
      <c r="M177">
        <v>123.9</v>
      </c>
      <c r="N177">
        <v>138.30000000000001</v>
      </c>
      <c r="O177">
        <v>125.4</v>
      </c>
      <c r="P177">
        <v>146</v>
      </c>
      <c r="Q177" s="3">
        <v>141.5</v>
      </c>
      <c r="R177" s="7">
        <v>156.19999999999999</v>
      </c>
      <c r="S177">
        <v>135</v>
      </c>
      <c r="T177">
        <v>125.4</v>
      </c>
      <c r="U177" s="5">
        <v>133.5</v>
      </c>
      <c r="V177" s="6">
        <v>138.6</v>
      </c>
      <c r="W177" s="4">
        <v>125.7</v>
      </c>
      <c r="X177">
        <v>128.80000000000001</v>
      </c>
      <c r="Y177">
        <v>127.4</v>
      </c>
      <c r="Z177">
        <v>115.3</v>
      </c>
      <c r="AA177">
        <v>125.1</v>
      </c>
      <c r="AB177">
        <v>136.6</v>
      </c>
      <c r="AC177">
        <v>124.9</v>
      </c>
      <c r="AD177" s="7">
        <v>124.9</v>
      </c>
      <c r="AE177">
        <v>134.80000000000001</v>
      </c>
    </row>
    <row r="178" spans="1:31" x14ac:dyDescent="0.3">
      <c r="A178" t="s">
        <v>34</v>
      </c>
      <c r="B178">
        <v>2017</v>
      </c>
      <c r="C178" t="s">
        <v>45</v>
      </c>
      <c r="D178" s="10" t="str">
        <f xml:space="preserve"> _xlfn.CONCAT(Table1[[#This Row],[Month]],",",Table1[[#This Row],[Year]])</f>
        <v>November,2017</v>
      </c>
      <c r="E178">
        <v>135.69999999999999</v>
      </c>
      <c r="F178">
        <v>142.4</v>
      </c>
      <c r="G178">
        <v>142.9</v>
      </c>
      <c r="H178">
        <v>140.80000000000001</v>
      </c>
      <c r="I178">
        <v>119.2</v>
      </c>
      <c r="J178">
        <v>142.19999999999999</v>
      </c>
      <c r="K178">
        <v>173.8</v>
      </c>
      <c r="L178">
        <v>131.19999999999999</v>
      </c>
      <c r="M178">
        <v>123</v>
      </c>
      <c r="N178">
        <v>136.80000000000001</v>
      </c>
      <c r="O178">
        <v>129.19999999999999</v>
      </c>
      <c r="P178">
        <v>148.9</v>
      </c>
      <c r="Q178" s="3">
        <v>142.1</v>
      </c>
      <c r="R178" s="7">
        <v>153.19999999999999</v>
      </c>
      <c r="S178">
        <v>143</v>
      </c>
      <c r="T178">
        <v>134.80000000000001</v>
      </c>
      <c r="U178" s="5">
        <v>141.80000000000001</v>
      </c>
      <c r="V178" s="6">
        <v>138.6</v>
      </c>
      <c r="W178" s="4">
        <v>135.30000000000001</v>
      </c>
      <c r="X178">
        <v>134.4</v>
      </c>
      <c r="Y178">
        <v>132.6</v>
      </c>
      <c r="Z178">
        <v>118.3</v>
      </c>
      <c r="AA178">
        <v>128.9</v>
      </c>
      <c r="AB178">
        <v>138.6</v>
      </c>
      <c r="AC178">
        <v>126.8</v>
      </c>
      <c r="AD178" s="7">
        <v>128.4</v>
      </c>
      <c r="AE178">
        <v>137.6</v>
      </c>
    </row>
    <row r="179" spans="1:31" x14ac:dyDescent="0.3">
      <c r="A179" t="s">
        <v>30</v>
      </c>
      <c r="B179">
        <v>2017</v>
      </c>
      <c r="C179" t="s">
        <v>46</v>
      </c>
      <c r="D179" s="10" t="str">
        <f xml:space="preserve"> _xlfn.CONCAT(Table1[[#This Row],[Month]],",",Table1[[#This Row],[Year]])</f>
        <v>December,2017</v>
      </c>
      <c r="E179">
        <v>136.4</v>
      </c>
      <c r="F179">
        <v>143.69999999999999</v>
      </c>
      <c r="G179">
        <v>144.80000000000001</v>
      </c>
      <c r="H179">
        <v>141.9</v>
      </c>
      <c r="I179">
        <v>123.1</v>
      </c>
      <c r="J179">
        <v>147.19999999999999</v>
      </c>
      <c r="K179">
        <v>161</v>
      </c>
      <c r="L179">
        <v>133.80000000000001</v>
      </c>
      <c r="M179">
        <v>121.9</v>
      </c>
      <c r="N179">
        <v>135.80000000000001</v>
      </c>
      <c r="O179">
        <v>131.1</v>
      </c>
      <c r="P179">
        <v>151.4</v>
      </c>
      <c r="Q179" s="3">
        <v>141.5</v>
      </c>
      <c r="R179" s="7">
        <v>153.19999999999999</v>
      </c>
      <c r="S179">
        <v>148</v>
      </c>
      <c r="T179">
        <v>141.9</v>
      </c>
      <c r="U179" s="5">
        <v>147.19999999999999</v>
      </c>
      <c r="V179" s="6" t="s">
        <v>32</v>
      </c>
      <c r="W179" s="4">
        <v>142.6</v>
      </c>
      <c r="X179">
        <v>139.5</v>
      </c>
      <c r="Y179">
        <v>136.1</v>
      </c>
      <c r="Z179">
        <v>122</v>
      </c>
      <c r="AA179">
        <v>133.4</v>
      </c>
      <c r="AB179">
        <v>141.1</v>
      </c>
      <c r="AC179">
        <v>127.8</v>
      </c>
      <c r="AD179" s="7">
        <v>131.9</v>
      </c>
      <c r="AE179">
        <v>139.80000000000001</v>
      </c>
    </row>
    <row r="180" spans="1:31" x14ac:dyDescent="0.3">
      <c r="A180" t="s">
        <v>33</v>
      </c>
      <c r="B180">
        <v>2017</v>
      </c>
      <c r="C180" t="s">
        <v>46</v>
      </c>
      <c r="D180" s="10" t="str">
        <f xml:space="preserve"> _xlfn.CONCAT(Table1[[#This Row],[Month]],",",Table1[[#This Row],[Year]])</f>
        <v>December,2017</v>
      </c>
      <c r="E180">
        <v>134.4</v>
      </c>
      <c r="F180">
        <v>142.6</v>
      </c>
      <c r="G180">
        <v>145.9</v>
      </c>
      <c r="H180">
        <v>139.5</v>
      </c>
      <c r="I180">
        <v>115.9</v>
      </c>
      <c r="J180">
        <v>135</v>
      </c>
      <c r="K180">
        <v>163.19999999999999</v>
      </c>
      <c r="L180">
        <v>119.8</v>
      </c>
      <c r="M180">
        <v>120.7</v>
      </c>
      <c r="N180">
        <v>139.69999999999999</v>
      </c>
      <c r="O180">
        <v>125.7</v>
      </c>
      <c r="P180">
        <v>146.30000000000001</v>
      </c>
      <c r="Q180" s="3">
        <v>138.80000000000001</v>
      </c>
      <c r="R180" s="7">
        <v>157</v>
      </c>
      <c r="S180">
        <v>135.6</v>
      </c>
      <c r="T180">
        <v>125.6</v>
      </c>
      <c r="U180" s="5">
        <v>134</v>
      </c>
      <c r="V180" s="6">
        <v>139.1</v>
      </c>
      <c r="W180" s="4">
        <v>126.8</v>
      </c>
      <c r="X180">
        <v>129.30000000000001</v>
      </c>
      <c r="Y180">
        <v>128.19999999999999</v>
      </c>
      <c r="Z180">
        <v>115.3</v>
      </c>
      <c r="AA180">
        <v>125.6</v>
      </c>
      <c r="AB180">
        <v>136.69999999999999</v>
      </c>
      <c r="AC180">
        <v>124.6</v>
      </c>
      <c r="AD180" s="7">
        <v>125.1</v>
      </c>
      <c r="AE180">
        <v>134.1</v>
      </c>
    </row>
    <row r="181" spans="1:31" x14ac:dyDescent="0.3">
      <c r="A181" t="s">
        <v>34</v>
      </c>
      <c r="B181">
        <v>2017</v>
      </c>
      <c r="C181" t="s">
        <v>46</v>
      </c>
      <c r="D181" s="10" t="str">
        <f xml:space="preserve"> _xlfn.CONCAT(Table1[[#This Row],[Month]],",",Table1[[#This Row],[Year]])</f>
        <v>December,2017</v>
      </c>
      <c r="E181">
        <v>135.80000000000001</v>
      </c>
      <c r="F181">
        <v>143.30000000000001</v>
      </c>
      <c r="G181">
        <v>145.19999999999999</v>
      </c>
      <c r="H181">
        <v>141</v>
      </c>
      <c r="I181">
        <v>120.5</v>
      </c>
      <c r="J181">
        <v>141.5</v>
      </c>
      <c r="K181">
        <v>161.69999999999999</v>
      </c>
      <c r="L181">
        <v>129.1</v>
      </c>
      <c r="M181">
        <v>121.5</v>
      </c>
      <c r="N181">
        <v>137.1</v>
      </c>
      <c r="O181">
        <v>128.80000000000001</v>
      </c>
      <c r="P181">
        <v>149</v>
      </c>
      <c r="Q181" s="3">
        <v>140.5</v>
      </c>
      <c r="R181" s="7">
        <v>154.19999999999999</v>
      </c>
      <c r="S181">
        <v>143.1</v>
      </c>
      <c r="T181">
        <v>135.1</v>
      </c>
      <c r="U181" s="5">
        <v>142</v>
      </c>
      <c r="V181" s="6">
        <v>139.1</v>
      </c>
      <c r="W181" s="4">
        <v>136.6</v>
      </c>
      <c r="X181">
        <v>134.69999999999999</v>
      </c>
      <c r="Y181">
        <v>133.1</v>
      </c>
      <c r="Z181">
        <v>118.5</v>
      </c>
      <c r="AA181">
        <v>129</v>
      </c>
      <c r="AB181">
        <v>138.5</v>
      </c>
      <c r="AC181">
        <v>126.5</v>
      </c>
      <c r="AD181" s="7">
        <v>128.6</v>
      </c>
      <c r="AE181">
        <v>137.19999999999999</v>
      </c>
    </row>
    <row r="182" spans="1:31" x14ac:dyDescent="0.3">
      <c r="A182" t="s">
        <v>30</v>
      </c>
      <c r="B182">
        <v>2018</v>
      </c>
      <c r="C182" t="s">
        <v>31</v>
      </c>
      <c r="D182" s="10" t="str">
        <f xml:space="preserve"> _xlfn.CONCAT(Table1[[#This Row],[Month]],",",Table1[[#This Row],[Year]])</f>
        <v>January,2018</v>
      </c>
      <c r="E182">
        <v>136.6</v>
      </c>
      <c r="F182">
        <v>144.4</v>
      </c>
      <c r="G182">
        <v>143.80000000000001</v>
      </c>
      <c r="H182">
        <v>142</v>
      </c>
      <c r="I182">
        <v>123.2</v>
      </c>
      <c r="J182">
        <v>147.9</v>
      </c>
      <c r="K182">
        <v>152.1</v>
      </c>
      <c r="L182">
        <v>131.80000000000001</v>
      </c>
      <c r="M182">
        <v>119.5</v>
      </c>
      <c r="N182">
        <v>136</v>
      </c>
      <c r="O182">
        <v>131.19999999999999</v>
      </c>
      <c r="P182">
        <v>151.80000000000001</v>
      </c>
      <c r="Q182" s="3">
        <v>140.4</v>
      </c>
      <c r="R182" s="7">
        <v>153.6</v>
      </c>
      <c r="S182">
        <v>148.30000000000001</v>
      </c>
      <c r="T182">
        <v>142.30000000000001</v>
      </c>
      <c r="U182" s="5">
        <v>147.5</v>
      </c>
      <c r="V182" s="6" t="s">
        <v>32</v>
      </c>
      <c r="W182" s="4">
        <v>142.30000000000001</v>
      </c>
      <c r="X182">
        <v>139.80000000000001</v>
      </c>
      <c r="Y182">
        <v>136</v>
      </c>
      <c r="Z182">
        <v>122.7</v>
      </c>
      <c r="AA182">
        <v>134.30000000000001</v>
      </c>
      <c r="AB182">
        <v>141.6</v>
      </c>
      <c r="AC182">
        <v>128.6</v>
      </c>
      <c r="AD182" s="7">
        <v>132.30000000000001</v>
      </c>
      <c r="AE182">
        <v>139.30000000000001</v>
      </c>
    </row>
    <row r="183" spans="1:31" x14ac:dyDescent="0.3">
      <c r="A183" t="s">
        <v>33</v>
      </c>
      <c r="B183">
        <v>2018</v>
      </c>
      <c r="C183" t="s">
        <v>31</v>
      </c>
      <c r="D183" s="10" t="str">
        <f xml:space="preserve"> _xlfn.CONCAT(Table1[[#This Row],[Month]],",",Table1[[#This Row],[Year]])</f>
        <v>January,2018</v>
      </c>
      <c r="E183">
        <v>134.6</v>
      </c>
      <c r="F183">
        <v>143.69999999999999</v>
      </c>
      <c r="G183">
        <v>143.6</v>
      </c>
      <c r="H183">
        <v>139.6</v>
      </c>
      <c r="I183">
        <v>116.4</v>
      </c>
      <c r="J183">
        <v>133.80000000000001</v>
      </c>
      <c r="K183">
        <v>150.5</v>
      </c>
      <c r="L183">
        <v>118.4</v>
      </c>
      <c r="M183">
        <v>117.3</v>
      </c>
      <c r="N183">
        <v>140.5</v>
      </c>
      <c r="O183">
        <v>125.9</v>
      </c>
      <c r="P183">
        <v>146.80000000000001</v>
      </c>
      <c r="Q183" s="3">
        <v>137.19999999999999</v>
      </c>
      <c r="R183" s="7">
        <v>157.69999999999999</v>
      </c>
      <c r="S183">
        <v>136</v>
      </c>
      <c r="T183">
        <v>125.9</v>
      </c>
      <c r="U183" s="5">
        <v>134.4</v>
      </c>
      <c r="V183" s="6">
        <v>140.4</v>
      </c>
      <c r="W183" s="4">
        <v>127.3</v>
      </c>
      <c r="X183">
        <v>129.5</v>
      </c>
      <c r="Y183">
        <v>129</v>
      </c>
      <c r="Z183">
        <v>116.3</v>
      </c>
      <c r="AA183">
        <v>126.2</v>
      </c>
      <c r="AB183">
        <v>137.1</v>
      </c>
      <c r="AC183">
        <v>125.5</v>
      </c>
      <c r="AD183" s="7">
        <v>125.8</v>
      </c>
      <c r="AE183">
        <v>134.1</v>
      </c>
    </row>
    <row r="184" spans="1:31" x14ac:dyDescent="0.3">
      <c r="A184" t="s">
        <v>34</v>
      </c>
      <c r="B184">
        <v>2018</v>
      </c>
      <c r="C184" t="s">
        <v>31</v>
      </c>
      <c r="D184" s="10" t="str">
        <f xml:space="preserve"> _xlfn.CONCAT(Table1[[#This Row],[Month]],",",Table1[[#This Row],[Year]])</f>
        <v>January,2018</v>
      </c>
      <c r="E184">
        <v>136</v>
      </c>
      <c r="F184">
        <v>144.19999999999999</v>
      </c>
      <c r="G184">
        <v>143.69999999999999</v>
      </c>
      <c r="H184">
        <v>141.1</v>
      </c>
      <c r="I184">
        <v>120.7</v>
      </c>
      <c r="J184">
        <v>141.30000000000001</v>
      </c>
      <c r="K184">
        <v>151.6</v>
      </c>
      <c r="L184">
        <v>127.3</v>
      </c>
      <c r="M184">
        <v>118.8</v>
      </c>
      <c r="N184">
        <v>137.5</v>
      </c>
      <c r="O184">
        <v>129</v>
      </c>
      <c r="P184">
        <v>149.5</v>
      </c>
      <c r="Q184" s="3">
        <v>139.19999999999999</v>
      </c>
      <c r="R184" s="7">
        <v>154.69999999999999</v>
      </c>
      <c r="S184">
        <v>143.5</v>
      </c>
      <c r="T184">
        <v>135.5</v>
      </c>
      <c r="U184" s="5">
        <v>142.30000000000001</v>
      </c>
      <c r="V184" s="6">
        <v>140.4</v>
      </c>
      <c r="W184" s="4">
        <v>136.6</v>
      </c>
      <c r="X184">
        <v>134.9</v>
      </c>
      <c r="Y184">
        <v>133.30000000000001</v>
      </c>
      <c r="Z184">
        <v>119.3</v>
      </c>
      <c r="AA184">
        <v>129.69999999999999</v>
      </c>
      <c r="AB184">
        <v>139</v>
      </c>
      <c r="AC184">
        <v>127.3</v>
      </c>
      <c r="AD184" s="7">
        <v>129.1</v>
      </c>
      <c r="AE184">
        <v>136.9</v>
      </c>
    </row>
    <row r="185" spans="1:31" x14ac:dyDescent="0.3">
      <c r="A185" t="s">
        <v>30</v>
      </c>
      <c r="B185">
        <v>2018</v>
      </c>
      <c r="C185" t="s">
        <v>35</v>
      </c>
      <c r="D185" s="10" t="str">
        <f xml:space="preserve"> _xlfn.CONCAT(Table1[[#This Row],[Month]],",",Table1[[#This Row],[Year]])</f>
        <v>February,2018</v>
      </c>
      <c r="E185">
        <v>136.4</v>
      </c>
      <c r="F185">
        <v>143.69999999999999</v>
      </c>
      <c r="G185">
        <v>140.6</v>
      </c>
      <c r="H185">
        <v>141.5</v>
      </c>
      <c r="I185">
        <v>122.9</v>
      </c>
      <c r="J185">
        <v>149.4</v>
      </c>
      <c r="K185">
        <v>142.4</v>
      </c>
      <c r="L185">
        <v>130.19999999999999</v>
      </c>
      <c r="M185">
        <v>117.9</v>
      </c>
      <c r="N185">
        <v>135.6</v>
      </c>
      <c r="O185">
        <v>130.5</v>
      </c>
      <c r="P185">
        <v>151.69999999999999</v>
      </c>
      <c r="Q185" s="3">
        <v>138.69999999999999</v>
      </c>
      <c r="R185" s="7">
        <v>153.30000000000001</v>
      </c>
      <c r="S185">
        <v>148.69999999999999</v>
      </c>
      <c r="T185">
        <v>142.4</v>
      </c>
      <c r="U185" s="5">
        <v>147.80000000000001</v>
      </c>
      <c r="V185" s="6" t="s">
        <v>32</v>
      </c>
      <c r="W185" s="4">
        <v>142.4</v>
      </c>
      <c r="X185">
        <v>139.9</v>
      </c>
      <c r="Y185">
        <v>136.19999999999999</v>
      </c>
      <c r="Z185">
        <v>123.3</v>
      </c>
      <c r="AA185">
        <v>134.30000000000001</v>
      </c>
      <c r="AB185">
        <v>141.5</v>
      </c>
      <c r="AC185">
        <v>128.80000000000001</v>
      </c>
      <c r="AD185" s="7">
        <v>132.5</v>
      </c>
      <c r="AE185">
        <v>138.5</v>
      </c>
    </row>
    <row r="186" spans="1:31" x14ac:dyDescent="0.3">
      <c r="A186" t="s">
        <v>33</v>
      </c>
      <c r="B186">
        <v>2018</v>
      </c>
      <c r="C186" t="s">
        <v>35</v>
      </c>
      <c r="D186" s="10" t="str">
        <f xml:space="preserve"> _xlfn.CONCAT(Table1[[#This Row],[Month]],",",Table1[[#This Row],[Year]])</f>
        <v>February,2018</v>
      </c>
      <c r="E186">
        <v>134.80000000000001</v>
      </c>
      <c r="F186">
        <v>143</v>
      </c>
      <c r="G186">
        <v>139.9</v>
      </c>
      <c r="H186">
        <v>139.9</v>
      </c>
      <c r="I186">
        <v>116.2</v>
      </c>
      <c r="J186">
        <v>135.5</v>
      </c>
      <c r="K186">
        <v>136.9</v>
      </c>
      <c r="L186">
        <v>117</v>
      </c>
      <c r="M186">
        <v>115.4</v>
      </c>
      <c r="N186">
        <v>140.69999999999999</v>
      </c>
      <c r="O186">
        <v>125.9</v>
      </c>
      <c r="P186">
        <v>147.1</v>
      </c>
      <c r="Q186" s="3">
        <v>135.6</v>
      </c>
      <c r="R186" s="7">
        <v>159.30000000000001</v>
      </c>
      <c r="S186">
        <v>136.30000000000001</v>
      </c>
      <c r="T186">
        <v>126.1</v>
      </c>
      <c r="U186" s="5">
        <v>134.69999999999999</v>
      </c>
      <c r="V186" s="6">
        <v>141.30000000000001</v>
      </c>
      <c r="W186" s="4">
        <v>127.3</v>
      </c>
      <c r="X186">
        <v>129.9</v>
      </c>
      <c r="Y186">
        <v>129.80000000000001</v>
      </c>
      <c r="Z186">
        <v>117.4</v>
      </c>
      <c r="AA186">
        <v>126.5</v>
      </c>
      <c r="AB186">
        <v>137.19999999999999</v>
      </c>
      <c r="AC186">
        <v>126.2</v>
      </c>
      <c r="AD186" s="7">
        <v>126.5</v>
      </c>
      <c r="AE186">
        <v>134</v>
      </c>
    </row>
    <row r="187" spans="1:31" x14ac:dyDescent="0.3">
      <c r="A187" t="s">
        <v>34</v>
      </c>
      <c r="B187">
        <v>2018</v>
      </c>
      <c r="C187" t="s">
        <v>35</v>
      </c>
      <c r="D187" s="10" t="str">
        <f xml:space="preserve"> _xlfn.CONCAT(Table1[[#This Row],[Month]],",",Table1[[#This Row],[Year]])</f>
        <v>February,2018</v>
      </c>
      <c r="E187">
        <v>135.9</v>
      </c>
      <c r="F187">
        <v>143.5</v>
      </c>
      <c r="G187">
        <v>140.30000000000001</v>
      </c>
      <c r="H187">
        <v>140.9</v>
      </c>
      <c r="I187">
        <v>120.4</v>
      </c>
      <c r="J187">
        <v>142.9</v>
      </c>
      <c r="K187">
        <v>140.5</v>
      </c>
      <c r="L187">
        <v>125.8</v>
      </c>
      <c r="M187">
        <v>117.1</v>
      </c>
      <c r="N187">
        <v>137.30000000000001</v>
      </c>
      <c r="O187">
        <v>128.6</v>
      </c>
      <c r="P187">
        <v>149.6</v>
      </c>
      <c r="Q187" s="3">
        <v>137.6</v>
      </c>
      <c r="R187" s="7">
        <v>154.9</v>
      </c>
      <c r="S187">
        <v>143.80000000000001</v>
      </c>
      <c r="T187">
        <v>135.6</v>
      </c>
      <c r="U187" s="5">
        <v>142.6</v>
      </c>
      <c r="V187" s="6">
        <v>141.30000000000001</v>
      </c>
      <c r="W187" s="4">
        <v>136.69999999999999</v>
      </c>
      <c r="X187">
        <v>135.19999999999999</v>
      </c>
      <c r="Y187">
        <v>133.80000000000001</v>
      </c>
      <c r="Z187">
        <v>120.2</v>
      </c>
      <c r="AA187">
        <v>129.9</v>
      </c>
      <c r="AB187">
        <v>139</v>
      </c>
      <c r="AC187">
        <v>127.7</v>
      </c>
      <c r="AD187" s="7">
        <v>129.6</v>
      </c>
      <c r="AE187">
        <v>136.4</v>
      </c>
    </row>
    <row r="188" spans="1:31" x14ac:dyDescent="0.3">
      <c r="A188" t="s">
        <v>30</v>
      </c>
      <c r="B188">
        <v>2018</v>
      </c>
      <c r="C188" t="s">
        <v>36</v>
      </c>
      <c r="D188" s="10" t="str">
        <f xml:space="preserve"> _xlfn.CONCAT(Table1[[#This Row],[Month]],",",Table1[[#This Row],[Year]])</f>
        <v>March,2018</v>
      </c>
      <c r="E188">
        <v>136.80000000000001</v>
      </c>
      <c r="F188">
        <v>143.80000000000001</v>
      </c>
      <c r="G188">
        <v>140</v>
      </c>
      <c r="H188">
        <v>142</v>
      </c>
      <c r="I188">
        <v>123.2</v>
      </c>
      <c r="J188">
        <v>152.9</v>
      </c>
      <c r="K188">
        <v>138</v>
      </c>
      <c r="L188">
        <v>129.30000000000001</v>
      </c>
      <c r="M188">
        <v>117.1</v>
      </c>
      <c r="N188">
        <v>136.30000000000001</v>
      </c>
      <c r="O188">
        <v>131.19999999999999</v>
      </c>
      <c r="P188">
        <v>152.80000000000001</v>
      </c>
      <c r="Q188" s="3">
        <v>138.6</v>
      </c>
      <c r="R188" s="7">
        <v>155.1</v>
      </c>
      <c r="S188">
        <v>149.19999999999999</v>
      </c>
      <c r="T188">
        <v>143</v>
      </c>
      <c r="U188" s="5">
        <v>148.30000000000001</v>
      </c>
      <c r="V188" s="6" t="s">
        <v>32</v>
      </c>
      <c r="W188" s="4">
        <v>142.6</v>
      </c>
      <c r="X188">
        <v>139.9</v>
      </c>
      <c r="Y188">
        <v>136.69999999999999</v>
      </c>
      <c r="Z188">
        <v>124.6</v>
      </c>
      <c r="AA188">
        <v>135.1</v>
      </c>
      <c r="AB188">
        <v>142.69999999999999</v>
      </c>
      <c r="AC188">
        <v>129.30000000000001</v>
      </c>
      <c r="AD188" s="7">
        <v>133.30000000000001</v>
      </c>
      <c r="AE188">
        <v>138.69999999999999</v>
      </c>
    </row>
    <row r="189" spans="1:31" x14ac:dyDescent="0.3">
      <c r="A189" t="s">
        <v>33</v>
      </c>
      <c r="B189">
        <v>2018</v>
      </c>
      <c r="C189" t="s">
        <v>36</v>
      </c>
      <c r="D189" s="10" t="str">
        <f xml:space="preserve"> _xlfn.CONCAT(Table1[[#This Row],[Month]],",",Table1[[#This Row],[Year]])</f>
        <v>March,2018</v>
      </c>
      <c r="E189">
        <v>135</v>
      </c>
      <c r="F189">
        <v>143.1</v>
      </c>
      <c r="G189">
        <v>135.5</v>
      </c>
      <c r="H189">
        <v>139.9</v>
      </c>
      <c r="I189">
        <v>116.5</v>
      </c>
      <c r="J189">
        <v>138.5</v>
      </c>
      <c r="K189">
        <v>128</v>
      </c>
      <c r="L189">
        <v>115.5</v>
      </c>
      <c r="M189">
        <v>114.2</v>
      </c>
      <c r="N189">
        <v>140.69999999999999</v>
      </c>
      <c r="O189">
        <v>126.2</v>
      </c>
      <c r="P189">
        <v>147.6</v>
      </c>
      <c r="Q189" s="3">
        <v>134.80000000000001</v>
      </c>
      <c r="R189" s="7">
        <v>159.69999999999999</v>
      </c>
      <c r="S189">
        <v>136.69999999999999</v>
      </c>
      <c r="T189">
        <v>126.7</v>
      </c>
      <c r="U189" s="5">
        <v>135.19999999999999</v>
      </c>
      <c r="V189" s="6">
        <v>142</v>
      </c>
      <c r="W189" s="4">
        <v>126.4</v>
      </c>
      <c r="X189">
        <v>130.80000000000001</v>
      </c>
      <c r="Y189">
        <v>130.5</v>
      </c>
      <c r="Z189">
        <v>117.8</v>
      </c>
      <c r="AA189">
        <v>126.8</v>
      </c>
      <c r="AB189">
        <v>137.80000000000001</v>
      </c>
      <c r="AC189">
        <v>126.7</v>
      </c>
      <c r="AD189" s="7">
        <v>127.1</v>
      </c>
      <c r="AE189">
        <v>134</v>
      </c>
    </row>
    <row r="190" spans="1:31" x14ac:dyDescent="0.3">
      <c r="A190" t="s">
        <v>34</v>
      </c>
      <c r="B190">
        <v>2018</v>
      </c>
      <c r="C190" t="s">
        <v>36</v>
      </c>
      <c r="D190" s="10" t="str">
        <f xml:space="preserve"> _xlfn.CONCAT(Table1[[#This Row],[Month]],",",Table1[[#This Row],[Year]])</f>
        <v>March,2018</v>
      </c>
      <c r="E190">
        <v>136.19999999999999</v>
      </c>
      <c r="F190">
        <v>143.6</v>
      </c>
      <c r="G190">
        <v>138.30000000000001</v>
      </c>
      <c r="H190">
        <v>141.19999999999999</v>
      </c>
      <c r="I190">
        <v>120.7</v>
      </c>
      <c r="J190">
        <v>146.19999999999999</v>
      </c>
      <c r="K190">
        <v>134.6</v>
      </c>
      <c r="L190">
        <v>124.6</v>
      </c>
      <c r="M190">
        <v>116.1</v>
      </c>
      <c r="N190">
        <v>137.80000000000001</v>
      </c>
      <c r="O190">
        <v>129.1</v>
      </c>
      <c r="P190">
        <v>150.4</v>
      </c>
      <c r="Q190" s="3">
        <v>137.19999999999999</v>
      </c>
      <c r="R190" s="7">
        <v>156.30000000000001</v>
      </c>
      <c r="S190">
        <v>144.30000000000001</v>
      </c>
      <c r="T190">
        <v>136.19999999999999</v>
      </c>
      <c r="U190" s="5">
        <v>143.1</v>
      </c>
      <c r="V190" s="6">
        <v>142</v>
      </c>
      <c r="W190" s="4">
        <v>136.5</v>
      </c>
      <c r="X190">
        <v>135.6</v>
      </c>
      <c r="Y190">
        <v>134.30000000000001</v>
      </c>
      <c r="Z190">
        <v>121</v>
      </c>
      <c r="AA190">
        <v>130.4</v>
      </c>
      <c r="AB190">
        <v>139.80000000000001</v>
      </c>
      <c r="AC190">
        <v>128.19999999999999</v>
      </c>
      <c r="AD190" s="7">
        <v>130.30000000000001</v>
      </c>
      <c r="AE190">
        <v>136.5</v>
      </c>
    </row>
    <row r="191" spans="1:31" x14ac:dyDescent="0.3">
      <c r="A191" t="s">
        <v>30</v>
      </c>
      <c r="B191">
        <v>2018</v>
      </c>
      <c r="C191" t="s">
        <v>37</v>
      </c>
      <c r="D191" s="10" t="str">
        <f xml:space="preserve"> _xlfn.CONCAT(Table1[[#This Row],[Month]],",",Table1[[#This Row],[Year]])</f>
        <v>April,2018</v>
      </c>
      <c r="E191">
        <v>137.1</v>
      </c>
      <c r="F191">
        <v>144.5</v>
      </c>
      <c r="G191">
        <v>135.9</v>
      </c>
      <c r="H191">
        <v>142.4</v>
      </c>
      <c r="I191">
        <v>123.5</v>
      </c>
      <c r="J191">
        <v>156.4</v>
      </c>
      <c r="K191">
        <v>135.1</v>
      </c>
      <c r="L191">
        <v>128.4</v>
      </c>
      <c r="M191">
        <v>115.2</v>
      </c>
      <c r="N191">
        <v>137.19999999999999</v>
      </c>
      <c r="O191">
        <v>131.9</v>
      </c>
      <c r="P191">
        <v>153.80000000000001</v>
      </c>
      <c r="Q191" s="3">
        <v>138.6</v>
      </c>
      <c r="R191" s="7">
        <v>156.1</v>
      </c>
      <c r="S191">
        <v>150.1</v>
      </c>
      <c r="T191">
        <v>143.30000000000001</v>
      </c>
      <c r="U191" s="5">
        <v>149.1</v>
      </c>
      <c r="V191" s="6" t="s">
        <v>32</v>
      </c>
      <c r="W191" s="4">
        <v>143.80000000000001</v>
      </c>
      <c r="X191">
        <v>140.9</v>
      </c>
      <c r="Y191">
        <v>137.6</v>
      </c>
      <c r="Z191">
        <v>125.3</v>
      </c>
      <c r="AA191">
        <v>136</v>
      </c>
      <c r="AB191">
        <v>143.69999999999999</v>
      </c>
      <c r="AC191">
        <v>130.4</v>
      </c>
      <c r="AD191" s="7">
        <v>134.19999999999999</v>
      </c>
      <c r="AE191">
        <v>139.1</v>
      </c>
    </row>
    <row r="192" spans="1:31" x14ac:dyDescent="0.3">
      <c r="A192" t="s">
        <v>33</v>
      </c>
      <c r="B192">
        <v>2018</v>
      </c>
      <c r="C192" t="s">
        <v>37</v>
      </c>
      <c r="D192" s="10" t="str">
        <f xml:space="preserve"> _xlfn.CONCAT(Table1[[#This Row],[Month]],",",Table1[[#This Row],[Year]])</f>
        <v>April,2018</v>
      </c>
      <c r="E192">
        <v>135</v>
      </c>
      <c r="F192">
        <v>144.30000000000001</v>
      </c>
      <c r="G192">
        <v>130.80000000000001</v>
      </c>
      <c r="H192">
        <v>140.30000000000001</v>
      </c>
      <c r="I192">
        <v>116.6</v>
      </c>
      <c r="J192">
        <v>150.1</v>
      </c>
      <c r="K192">
        <v>127.6</v>
      </c>
      <c r="L192">
        <v>114</v>
      </c>
      <c r="M192">
        <v>110.6</v>
      </c>
      <c r="N192">
        <v>140.19999999999999</v>
      </c>
      <c r="O192">
        <v>126.5</v>
      </c>
      <c r="P192">
        <v>148.30000000000001</v>
      </c>
      <c r="Q192" s="3">
        <v>135.69999999999999</v>
      </c>
      <c r="R192" s="7">
        <v>159.19999999999999</v>
      </c>
      <c r="S192">
        <v>137.80000000000001</v>
      </c>
      <c r="T192">
        <v>127.4</v>
      </c>
      <c r="U192" s="5">
        <v>136.19999999999999</v>
      </c>
      <c r="V192" s="6">
        <v>142.9</v>
      </c>
      <c r="W192" s="4">
        <v>124.6</v>
      </c>
      <c r="X192">
        <v>131.80000000000001</v>
      </c>
      <c r="Y192">
        <v>131.30000000000001</v>
      </c>
      <c r="Z192">
        <v>118.9</v>
      </c>
      <c r="AA192">
        <v>127.6</v>
      </c>
      <c r="AB192">
        <v>139.69999999999999</v>
      </c>
      <c r="AC192">
        <v>127.6</v>
      </c>
      <c r="AD192" s="7">
        <v>128.19999999999999</v>
      </c>
      <c r="AE192">
        <v>134.80000000000001</v>
      </c>
    </row>
    <row r="193" spans="1:31" x14ac:dyDescent="0.3">
      <c r="A193" t="s">
        <v>34</v>
      </c>
      <c r="B193">
        <v>2018</v>
      </c>
      <c r="C193" t="s">
        <v>37</v>
      </c>
      <c r="D193" s="10" t="str">
        <f xml:space="preserve"> _xlfn.CONCAT(Table1[[#This Row],[Month]],",",Table1[[#This Row],[Year]])</f>
        <v>April,2018</v>
      </c>
      <c r="E193">
        <v>136.4</v>
      </c>
      <c r="F193">
        <v>144.4</v>
      </c>
      <c r="G193">
        <v>133.9</v>
      </c>
      <c r="H193">
        <v>141.6</v>
      </c>
      <c r="I193">
        <v>121</v>
      </c>
      <c r="J193">
        <v>153.5</v>
      </c>
      <c r="K193">
        <v>132.6</v>
      </c>
      <c r="L193">
        <v>123.5</v>
      </c>
      <c r="M193">
        <v>113.7</v>
      </c>
      <c r="N193">
        <v>138.19999999999999</v>
      </c>
      <c r="O193">
        <v>129.6</v>
      </c>
      <c r="P193">
        <v>151.19999999999999</v>
      </c>
      <c r="Q193" s="3">
        <v>137.5</v>
      </c>
      <c r="R193" s="7">
        <v>156.9</v>
      </c>
      <c r="S193">
        <v>145.30000000000001</v>
      </c>
      <c r="T193">
        <v>136.69999999999999</v>
      </c>
      <c r="U193" s="5">
        <v>144</v>
      </c>
      <c r="V193" s="6">
        <v>142.9</v>
      </c>
      <c r="W193" s="4">
        <v>136.5</v>
      </c>
      <c r="X193">
        <v>136.6</v>
      </c>
      <c r="Y193">
        <v>135.19999999999999</v>
      </c>
      <c r="Z193">
        <v>121.9</v>
      </c>
      <c r="AA193">
        <v>131.30000000000001</v>
      </c>
      <c r="AB193">
        <v>141.4</v>
      </c>
      <c r="AC193">
        <v>129.19999999999999</v>
      </c>
      <c r="AD193" s="7">
        <v>131.30000000000001</v>
      </c>
      <c r="AE193">
        <v>137.1</v>
      </c>
    </row>
    <row r="194" spans="1:31" x14ac:dyDescent="0.3">
      <c r="A194" t="s">
        <v>30</v>
      </c>
      <c r="B194">
        <v>2018</v>
      </c>
      <c r="C194" t="s">
        <v>38</v>
      </c>
      <c r="D194" s="10" t="str">
        <f xml:space="preserve"> _xlfn.CONCAT(Table1[[#This Row],[Month]],",",Table1[[#This Row],[Year]])</f>
        <v>May,2018</v>
      </c>
      <c r="E194">
        <v>137.4</v>
      </c>
      <c r="F194">
        <v>145.69999999999999</v>
      </c>
      <c r="G194">
        <v>135.5</v>
      </c>
      <c r="H194">
        <v>142.9</v>
      </c>
      <c r="I194">
        <v>123.6</v>
      </c>
      <c r="J194">
        <v>157.5</v>
      </c>
      <c r="K194">
        <v>137.80000000000001</v>
      </c>
      <c r="L194">
        <v>127.2</v>
      </c>
      <c r="M194">
        <v>111.8</v>
      </c>
      <c r="N194">
        <v>137.4</v>
      </c>
      <c r="O194">
        <v>132.19999999999999</v>
      </c>
      <c r="P194">
        <v>154.30000000000001</v>
      </c>
      <c r="Q194" s="3">
        <v>139.1</v>
      </c>
      <c r="R194" s="7">
        <v>157</v>
      </c>
      <c r="S194">
        <v>150.80000000000001</v>
      </c>
      <c r="T194">
        <v>144.1</v>
      </c>
      <c r="U194" s="5">
        <v>149.80000000000001</v>
      </c>
      <c r="V194" s="6" t="s">
        <v>32</v>
      </c>
      <c r="W194" s="4">
        <v>144.30000000000001</v>
      </c>
      <c r="X194">
        <v>141.80000000000001</v>
      </c>
      <c r="Y194">
        <v>138.4</v>
      </c>
      <c r="Z194">
        <v>126.4</v>
      </c>
      <c r="AA194">
        <v>136.80000000000001</v>
      </c>
      <c r="AB194">
        <v>144.4</v>
      </c>
      <c r="AC194">
        <v>131.19999999999999</v>
      </c>
      <c r="AD194" s="7">
        <v>135.1</v>
      </c>
      <c r="AE194">
        <v>139.80000000000001</v>
      </c>
    </row>
    <row r="195" spans="1:31" x14ac:dyDescent="0.3">
      <c r="A195" t="s">
        <v>33</v>
      </c>
      <c r="B195">
        <v>2018</v>
      </c>
      <c r="C195" t="s">
        <v>38</v>
      </c>
      <c r="D195" s="10" t="str">
        <f xml:space="preserve"> _xlfn.CONCAT(Table1[[#This Row],[Month]],",",Table1[[#This Row],[Year]])</f>
        <v>May,2018</v>
      </c>
      <c r="E195">
        <v>135</v>
      </c>
      <c r="F195">
        <v>148.19999999999999</v>
      </c>
      <c r="G195">
        <v>130.5</v>
      </c>
      <c r="H195">
        <v>140.69999999999999</v>
      </c>
      <c r="I195">
        <v>116.4</v>
      </c>
      <c r="J195">
        <v>151.30000000000001</v>
      </c>
      <c r="K195">
        <v>131.4</v>
      </c>
      <c r="L195">
        <v>112.8</v>
      </c>
      <c r="M195">
        <v>105.3</v>
      </c>
      <c r="N195">
        <v>139.6</v>
      </c>
      <c r="O195">
        <v>126.6</v>
      </c>
      <c r="P195">
        <v>148.69999999999999</v>
      </c>
      <c r="Q195" s="3">
        <v>136.4</v>
      </c>
      <c r="R195" s="7">
        <v>160.30000000000001</v>
      </c>
      <c r="S195">
        <v>138.6</v>
      </c>
      <c r="T195">
        <v>127.9</v>
      </c>
      <c r="U195" s="5">
        <v>137</v>
      </c>
      <c r="V195" s="6">
        <v>143.19999999999999</v>
      </c>
      <c r="W195" s="4">
        <v>124.7</v>
      </c>
      <c r="X195">
        <v>132.5</v>
      </c>
      <c r="Y195">
        <v>132</v>
      </c>
      <c r="Z195">
        <v>119.8</v>
      </c>
      <c r="AA195">
        <v>128</v>
      </c>
      <c r="AB195">
        <v>140.4</v>
      </c>
      <c r="AC195">
        <v>128.1</v>
      </c>
      <c r="AD195" s="7">
        <v>128.9</v>
      </c>
      <c r="AE195">
        <v>135.4</v>
      </c>
    </row>
    <row r="196" spans="1:31" x14ac:dyDescent="0.3">
      <c r="A196" t="s">
        <v>34</v>
      </c>
      <c r="B196">
        <v>2018</v>
      </c>
      <c r="C196" t="s">
        <v>38</v>
      </c>
      <c r="D196" s="10" t="str">
        <f xml:space="preserve"> _xlfn.CONCAT(Table1[[#This Row],[Month]],",",Table1[[#This Row],[Year]])</f>
        <v>May,2018</v>
      </c>
      <c r="E196">
        <v>136.6</v>
      </c>
      <c r="F196">
        <v>146.6</v>
      </c>
      <c r="G196">
        <v>133.6</v>
      </c>
      <c r="H196">
        <v>142.1</v>
      </c>
      <c r="I196">
        <v>121</v>
      </c>
      <c r="J196">
        <v>154.6</v>
      </c>
      <c r="K196">
        <v>135.6</v>
      </c>
      <c r="L196">
        <v>122.3</v>
      </c>
      <c r="M196">
        <v>109.6</v>
      </c>
      <c r="N196">
        <v>138.1</v>
      </c>
      <c r="O196">
        <v>129.9</v>
      </c>
      <c r="P196">
        <v>151.69999999999999</v>
      </c>
      <c r="Q196" s="3">
        <v>138.1</v>
      </c>
      <c r="R196" s="7">
        <v>157.9</v>
      </c>
      <c r="S196">
        <v>146</v>
      </c>
      <c r="T196">
        <v>137.4</v>
      </c>
      <c r="U196" s="5">
        <v>144.69999999999999</v>
      </c>
      <c r="V196" s="6">
        <v>143.19999999999999</v>
      </c>
      <c r="W196" s="4">
        <v>136.9</v>
      </c>
      <c r="X196">
        <v>137.4</v>
      </c>
      <c r="Y196">
        <v>136</v>
      </c>
      <c r="Z196">
        <v>122.9</v>
      </c>
      <c r="AA196">
        <v>131.80000000000001</v>
      </c>
      <c r="AB196">
        <v>142.1</v>
      </c>
      <c r="AC196">
        <v>129.9</v>
      </c>
      <c r="AD196" s="7">
        <v>132.1</v>
      </c>
      <c r="AE196">
        <v>137.80000000000001</v>
      </c>
    </row>
    <row r="197" spans="1:31" x14ac:dyDescent="0.3">
      <c r="A197" t="s">
        <v>30</v>
      </c>
      <c r="B197">
        <v>2018</v>
      </c>
      <c r="C197" t="s">
        <v>39</v>
      </c>
      <c r="D197" s="10" t="str">
        <f xml:space="preserve"> _xlfn.CONCAT(Table1[[#This Row],[Month]],",",Table1[[#This Row],[Year]])</f>
        <v>June,2018</v>
      </c>
      <c r="E197">
        <v>137.6</v>
      </c>
      <c r="F197">
        <v>148.1</v>
      </c>
      <c r="G197">
        <v>136.69999999999999</v>
      </c>
      <c r="H197">
        <v>143.19999999999999</v>
      </c>
      <c r="I197">
        <v>124</v>
      </c>
      <c r="J197">
        <v>154.1</v>
      </c>
      <c r="K197">
        <v>143.5</v>
      </c>
      <c r="L197">
        <v>126</v>
      </c>
      <c r="M197">
        <v>112.4</v>
      </c>
      <c r="N197">
        <v>137.6</v>
      </c>
      <c r="O197">
        <v>132.80000000000001</v>
      </c>
      <c r="P197">
        <v>154.30000000000001</v>
      </c>
      <c r="Q197" s="3">
        <v>140</v>
      </c>
      <c r="R197" s="7">
        <v>157.30000000000001</v>
      </c>
      <c r="S197">
        <v>151.30000000000001</v>
      </c>
      <c r="T197">
        <v>144.69999999999999</v>
      </c>
      <c r="U197" s="5">
        <v>150.30000000000001</v>
      </c>
      <c r="V197" s="6" t="s">
        <v>32</v>
      </c>
      <c r="W197" s="4">
        <v>145.1</v>
      </c>
      <c r="X197">
        <v>142.19999999999999</v>
      </c>
      <c r="Y197">
        <v>138.4</v>
      </c>
      <c r="Z197">
        <v>127.4</v>
      </c>
      <c r="AA197">
        <v>137.80000000000001</v>
      </c>
      <c r="AB197">
        <v>145.1</v>
      </c>
      <c r="AC197">
        <v>131.4</v>
      </c>
      <c r="AD197" s="7">
        <v>135.6</v>
      </c>
      <c r="AE197">
        <v>140.5</v>
      </c>
    </row>
    <row r="198" spans="1:31" x14ac:dyDescent="0.3">
      <c r="A198" t="s">
        <v>33</v>
      </c>
      <c r="B198">
        <v>2018</v>
      </c>
      <c r="C198" t="s">
        <v>39</v>
      </c>
      <c r="D198" s="10" t="str">
        <f xml:space="preserve"> _xlfn.CONCAT(Table1[[#This Row],[Month]],",",Table1[[#This Row],[Year]])</f>
        <v>June,2018</v>
      </c>
      <c r="E198">
        <v>135.30000000000001</v>
      </c>
      <c r="F198">
        <v>149.69999999999999</v>
      </c>
      <c r="G198">
        <v>133.9</v>
      </c>
      <c r="H198">
        <v>140.80000000000001</v>
      </c>
      <c r="I198">
        <v>116.6</v>
      </c>
      <c r="J198">
        <v>152.19999999999999</v>
      </c>
      <c r="K198">
        <v>144</v>
      </c>
      <c r="L198">
        <v>112.3</v>
      </c>
      <c r="M198">
        <v>108.4</v>
      </c>
      <c r="N198">
        <v>140</v>
      </c>
      <c r="O198">
        <v>126.7</v>
      </c>
      <c r="P198">
        <v>149</v>
      </c>
      <c r="Q198" s="3">
        <v>138.4</v>
      </c>
      <c r="R198" s="7">
        <v>161</v>
      </c>
      <c r="S198">
        <v>138.9</v>
      </c>
      <c r="T198">
        <v>128.69999999999999</v>
      </c>
      <c r="U198" s="5">
        <v>137.4</v>
      </c>
      <c r="V198" s="6">
        <v>142.5</v>
      </c>
      <c r="W198" s="4">
        <v>126.5</v>
      </c>
      <c r="X198">
        <v>133.1</v>
      </c>
      <c r="Y198">
        <v>132.6</v>
      </c>
      <c r="Z198">
        <v>120.4</v>
      </c>
      <c r="AA198">
        <v>128.5</v>
      </c>
      <c r="AB198">
        <v>141.19999999999999</v>
      </c>
      <c r="AC198">
        <v>128.19999999999999</v>
      </c>
      <c r="AD198" s="7">
        <v>129.5</v>
      </c>
      <c r="AE198">
        <v>136.19999999999999</v>
      </c>
    </row>
    <row r="199" spans="1:31" x14ac:dyDescent="0.3">
      <c r="A199" t="s">
        <v>34</v>
      </c>
      <c r="B199">
        <v>2018</v>
      </c>
      <c r="C199" t="s">
        <v>39</v>
      </c>
      <c r="D199" s="10" t="str">
        <f xml:space="preserve"> _xlfn.CONCAT(Table1[[#This Row],[Month]],",",Table1[[#This Row],[Year]])</f>
        <v>June,2018</v>
      </c>
      <c r="E199">
        <v>136.9</v>
      </c>
      <c r="F199">
        <v>148.69999999999999</v>
      </c>
      <c r="G199">
        <v>135.6</v>
      </c>
      <c r="H199">
        <v>142.30000000000001</v>
      </c>
      <c r="I199">
        <v>121.3</v>
      </c>
      <c r="J199">
        <v>153.19999999999999</v>
      </c>
      <c r="K199">
        <v>143.69999999999999</v>
      </c>
      <c r="L199">
        <v>121.4</v>
      </c>
      <c r="M199">
        <v>111.1</v>
      </c>
      <c r="N199">
        <v>138.4</v>
      </c>
      <c r="O199">
        <v>130.30000000000001</v>
      </c>
      <c r="P199">
        <v>151.80000000000001</v>
      </c>
      <c r="Q199" s="3">
        <v>139.4</v>
      </c>
      <c r="R199" s="7">
        <v>158.30000000000001</v>
      </c>
      <c r="S199">
        <v>146.4</v>
      </c>
      <c r="T199">
        <v>138.1</v>
      </c>
      <c r="U199" s="5">
        <v>145.19999999999999</v>
      </c>
      <c r="V199" s="6">
        <v>142.5</v>
      </c>
      <c r="W199" s="4">
        <v>138.1</v>
      </c>
      <c r="X199">
        <v>137.9</v>
      </c>
      <c r="Y199">
        <v>136.19999999999999</v>
      </c>
      <c r="Z199">
        <v>123.7</v>
      </c>
      <c r="AA199">
        <v>132.6</v>
      </c>
      <c r="AB199">
        <v>142.80000000000001</v>
      </c>
      <c r="AC199">
        <v>130.1</v>
      </c>
      <c r="AD199" s="7">
        <v>132.6</v>
      </c>
      <c r="AE199">
        <v>138.5</v>
      </c>
    </row>
    <row r="200" spans="1:31" x14ac:dyDescent="0.3">
      <c r="A200" t="s">
        <v>30</v>
      </c>
      <c r="B200">
        <v>2018</v>
      </c>
      <c r="C200" t="s">
        <v>40</v>
      </c>
      <c r="D200" s="10" t="str">
        <f xml:space="preserve"> _xlfn.CONCAT(Table1[[#This Row],[Month]],",",Table1[[#This Row],[Year]])</f>
        <v>July,2018</v>
      </c>
      <c r="E200">
        <v>138.4</v>
      </c>
      <c r="F200">
        <v>149.30000000000001</v>
      </c>
      <c r="G200">
        <v>139.30000000000001</v>
      </c>
      <c r="H200">
        <v>143.4</v>
      </c>
      <c r="I200">
        <v>124.1</v>
      </c>
      <c r="J200">
        <v>153.30000000000001</v>
      </c>
      <c r="K200">
        <v>154.19999999999999</v>
      </c>
      <c r="L200">
        <v>126.4</v>
      </c>
      <c r="M200">
        <v>114.3</v>
      </c>
      <c r="N200">
        <v>138.19999999999999</v>
      </c>
      <c r="O200">
        <v>132.80000000000001</v>
      </c>
      <c r="P200">
        <v>154.80000000000001</v>
      </c>
      <c r="Q200" s="3">
        <v>142</v>
      </c>
      <c r="R200" s="7">
        <v>156.1</v>
      </c>
      <c r="S200">
        <v>151.5</v>
      </c>
      <c r="T200">
        <v>145.1</v>
      </c>
      <c r="U200" s="5">
        <v>150.6</v>
      </c>
      <c r="V200" s="6" t="s">
        <v>32</v>
      </c>
      <c r="W200" s="4">
        <v>146.80000000000001</v>
      </c>
      <c r="X200">
        <v>143.1</v>
      </c>
      <c r="Y200">
        <v>139</v>
      </c>
      <c r="Z200">
        <v>127.5</v>
      </c>
      <c r="AA200">
        <v>138.4</v>
      </c>
      <c r="AB200">
        <v>145.80000000000001</v>
      </c>
      <c r="AC200">
        <v>131.4</v>
      </c>
      <c r="AD200" s="7">
        <v>136</v>
      </c>
      <c r="AE200">
        <v>141.80000000000001</v>
      </c>
    </row>
    <row r="201" spans="1:31" x14ac:dyDescent="0.3">
      <c r="A201" t="s">
        <v>33</v>
      </c>
      <c r="B201">
        <v>2018</v>
      </c>
      <c r="C201" t="s">
        <v>40</v>
      </c>
      <c r="D201" s="10" t="str">
        <f xml:space="preserve"> _xlfn.CONCAT(Table1[[#This Row],[Month]],",",Table1[[#This Row],[Year]])</f>
        <v>July,2018</v>
      </c>
      <c r="E201">
        <v>135.6</v>
      </c>
      <c r="F201">
        <v>148.6</v>
      </c>
      <c r="G201">
        <v>139.1</v>
      </c>
      <c r="H201">
        <v>141</v>
      </c>
      <c r="I201">
        <v>116.7</v>
      </c>
      <c r="J201">
        <v>149.69999999999999</v>
      </c>
      <c r="K201">
        <v>159.19999999999999</v>
      </c>
      <c r="L201">
        <v>112.6</v>
      </c>
      <c r="M201">
        <v>111.8</v>
      </c>
      <c r="N201">
        <v>140.30000000000001</v>
      </c>
      <c r="O201">
        <v>126.8</v>
      </c>
      <c r="P201">
        <v>149.4</v>
      </c>
      <c r="Q201" s="3">
        <v>140.30000000000001</v>
      </c>
      <c r="R201" s="7">
        <v>161.4</v>
      </c>
      <c r="S201">
        <v>139.6</v>
      </c>
      <c r="T201">
        <v>128.9</v>
      </c>
      <c r="U201" s="5">
        <v>137.9</v>
      </c>
      <c r="V201" s="6">
        <v>143.6</v>
      </c>
      <c r="W201" s="4">
        <v>128.1</v>
      </c>
      <c r="X201">
        <v>133.6</v>
      </c>
      <c r="Y201">
        <v>133.6</v>
      </c>
      <c r="Z201">
        <v>120.1</v>
      </c>
      <c r="AA201">
        <v>129</v>
      </c>
      <c r="AB201">
        <v>144</v>
      </c>
      <c r="AC201">
        <v>128.19999999999999</v>
      </c>
      <c r="AD201" s="7">
        <v>130.19999999999999</v>
      </c>
      <c r="AE201">
        <v>137.5</v>
      </c>
    </row>
    <row r="202" spans="1:31" x14ac:dyDescent="0.3">
      <c r="A202" t="s">
        <v>34</v>
      </c>
      <c r="B202">
        <v>2018</v>
      </c>
      <c r="C202" t="s">
        <v>40</v>
      </c>
      <c r="D202" s="10" t="str">
        <f xml:space="preserve"> _xlfn.CONCAT(Table1[[#This Row],[Month]],",",Table1[[#This Row],[Year]])</f>
        <v>July,2018</v>
      </c>
      <c r="E202">
        <v>137.5</v>
      </c>
      <c r="F202">
        <v>149.1</v>
      </c>
      <c r="G202">
        <v>139.19999999999999</v>
      </c>
      <c r="H202">
        <v>142.5</v>
      </c>
      <c r="I202">
        <v>121.4</v>
      </c>
      <c r="J202">
        <v>151.6</v>
      </c>
      <c r="K202">
        <v>155.9</v>
      </c>
      <c r="L202">
        <v>121.7</v>
      </c>
      <c r="M202">
        <v>113.5</v>
      </c>
      <c r="N202">
        <v>138.9</v>
      </c>
      <c r="O202">
        <v>130.30000000000001</v>
      </c>
      <c r="P202">
        <v>152.30000000000001</v>
      </c>
      <c r="Q202" s="3">
        <v>141.4</v>
      </c>
      <c r="R202" s="7">
        <v>157.5</v>
      </c>
      <c r="S202">
        <v>146.80000000000001</v>
      </c>
      <c r="T202">
        <v>138.4</v>
      </c>
      <c r="U202" s="5">
        <v>145.6</v>
      </c>
      <c r="V202" s="6">
        <v>143.6</v>
      </c>
      <c r="W202" s="4">
        <v>139.69999999999999</v>
      </c>
      <c r="X202">
        <v>138.6</v>
      </c>
      <c r="Y202">
        <v>137</v>
      </c>
      <c r="Z202">
        <v>123.6</v>
      </c>
      <c r="AA202">
        <v>133.1</v>
      </c>
      <c r="AB202">
        <v>144.69999999999999</v>
      </c>
      <c r="AC202">
        <v>130.1</v>
      </c>
      <c r="AD202" s="7">
        <v>133.19999999999999</v>
      </c>
      <c r="AE202">
        <v>139.80000000000001</v>
      </c>
    </row>
    <row r="203" spans="1:31" x14ac:dyDescent="0.3">
      <c r="A203" t="s">
        <v>30</v>
      </c>
      <c r="B203">
        <v>2018</v>
      </c>
      <c r="C203" t="s">
        <v>41</v>
      </c>
      <c r="D203" s="10" t="str">
        <f xml:space="preserve"> _xlfn.CONCAT(Table1[[#This Row],[Month]],",",Table1[[#This Row],[Year]])</f>
        <v>August,2018</v>
      </c>
      <c r="E203">
        <v>139.19999999999999</v>
      </c>
      <c r="F203">
        <v>148.80000000000001</v>
      </c>
      <c r="G203">
        <v>139.1</v>
      </c>
      <c r="H203">
        <v>143.5</v>
      </c>
      <c r="I203">
        <v>125</v>
      </c>
      <c r="J203">
        <v>154.4</v>
      </c>
      <c r="K203">
        <v>156.30000000000001</v>
      </c>
      <c r="L203">
        <v>126.8</v>
      </c>
      <c r="M203">
        <v>115.4</v>
      </c>
      <c r="N203">
        <v>138.6</v>
      </c>
      <c r="O203">
        <v>133.80000000000001</v>
      </c>
      <c r="P203">
        <v>155.19999999999999</v>
      </c>
      <c r="Q203" s="3">
        <v>142.69999999999999</v>
      </c>
      <c r="R203" s="7">
        <v>156.4</v>
      </c>
      <c r="S203">
        <v>152.1</v>
      </c>
      <c r="T203">
        <v>145.80000000000001</v>
      </c>
      <c r="U203" s="5">
        <v>151.30000000000001</v>
      </c>
      <c r="V203" s="6" t="s">
        <v>32</v>
      </c>
      <c r="W203" s="4">
        <v>147.69999999999999</v>
      </c>
      <c r="X203">
        <v>143.80000000000001</v>
      </c>
      <c r="Y203">
        <v>139.4</v>
      </c>
      <c r="Z203">
        <v>128.30000000000001</v>
      </c>
      <c r="AA203">
        <v>138.6</v>
      </c>
      <c r="AB203">
        <v>146.9</v>
      </c>
      <c r="AC203">
        <v>131.30000000000001</v>
      </c>
      <c r="AD203" s="7">
        <v>136.6</v>
      </c>
      <c r="AE203">
        <v>142.5</v>
      </c>
    </row>
    <row r="204" spans="1:31" x14ac:dyDescent="0.3">
      <c r="A204" t="s">
        <v>33</v>
      </c>
      <c r="B204">
        <v>2018</v>
      </c>
      <c r="C204" t="s">
        <v>41</v>
      </c>
      <c r="D204" s="10" t="str">
        <f xml:space="preserve"> _xlfn.CONCAT(Table1[[#This Row],[Month]],",",Table1[[#This Row],[Year]])</f>
        <v>August,2018</v>
      </c>
      <c r="E204">
        <v>136.5</v>
      </c>
      <c r="F204">
        <v>146.4</v>
      </c>
      <c r="G204">
        <v>136.6</v>
      </c>
      <c r="H204">
        <v>141.19999999999999</v>
      </c>
      <c r="I204">
        <v>117.4</v>
      </c>
      <c r="J204">
        <v>146.30000000000001</v>
      </c>
      <c r="K204">
        <v>157.30000000000001</v>
      </c>
      <c r="L204">
        <v>113.6</v>
      </c>
      <c r="M204">
        <v>113.3</v>
      </c>
      <c r="N204">
        <v>141.1</v>
      </c>
      <c r="O204">
        <v>127.4</v>
      </c>
      <c r="P204">
        <v>150.4</v>
      </c>
      <c r="Q204" s="3">
        <v>140.1</v>
      </c>
      <c r="R204" s="7">
        <v>162.1</v>
      </c>
      <c r="S204">
        <v>140</v>
      </c>
      <c r="T204">
        <v>129</v>
      </c>
      <c r="U204" s="5">
        <v>138.30000000000001</v>
      </c>
      <c r="V204" s="6">
        <v>144.6</v>
      </c>
      <c r="W204" s="4">
        <v>129.80000000000001</v>
      </c>
      <c r="X204">
        <v>134.4</v>
      </c>
      <c r="Y204">
        <v>134.9</v>
      </c>
      <c r="Z204">
        <v>120.7</v>
      </c>
      <c r="AA204">
        <v>129.80000000000001</v>
      </c>
      <c r="AB204">
        <v>145.30000000000001</v>
      </c>
      <c r="AC204">
        <v>128.30000000000001</v>
      </c>
      <c r="AD204" s="7">
        <v>131</v>
      </c>
      <c r="AE204">
        <v>138</v>
      </c>
    </row>
    <row r="205" spans="1:31" x14ac:dyDescent="0.3">
      <c r="A205" t="s">
        <v>34</v>
      </c>
      <c r="B205">
        <v>2018</v>
      </c>
      <c r="C205" t="s">
        <v>41</v>
      </c>
      <c r="D205" s="10" t="str">
        <f xml:space="preserve"> _xlfn.CONCAT(Table1[[#This Row],[Month]],",",Table1[[#This Row],[Year]])</f>
        <v>August,2018</v>
      </c>
      <c r="E205">
        <v>138.30000000000001</v>
      </c>
      <c r="F205">
        <v>148</v>
      </c>
      <c r="G205">
        <v>138.1</v>
      </c>
      <c r="H205">
        <v>142.6</v>
      </c>
      <c r="I205">
        <v>122.2</v>
      </c>
      <c r="J205">
        <v>150.6</v>
      </c>
      <c r="K205">
        <v>156.6</v>
      </c>
      <c r="L205">
        <v>122.4</v>
      </c>
      <c r="M205">
        <v>114.7</v>
      </c>
      <c r="N205">
        <v>139.4</v>
      </c>
      <c r="O205">
        <v>131.1</v>
      </c>
      <c r="P205">
        <v>153</v>
      </c>
      <c r="Q205" s="3">
        <v>141.69999999999999</v>
      </c>
      <c r="R205" s="7">
        <v>157.9</v>
      </c>
      <c r="S205">
        <v>147.30000000000001</v>
      </c>
      <c r="T205">
        <v>138.80000000000001</v>
      </c>
      <c r="U205" s="5">
        <v>146.1</v>
      </c>
      <c r="V205" s="6">
        <v>144.6</v>
      </c>
      <c r="W205" s="4">
        <v>140.9</v>
      </c>
      <c r="X205">
        <v>139.4</v>
      </c>
      <c r="Y205">
        <v>137.69999999999999</v>
      </c>
      <c r="Z205">
        <v>124.3</v>
      </c>
      <c r="AA205">
        <v>133.6</v>
      </c>
      <c r="AB205">
        <v>146</v>
      </c>
      <c r="AC205">
        <v>130.1</v>
      </c>
      <c r="AD205" s="7">
        <v>133.9</v>
      </c>
      <c r="AE205">
        <v>140.4</v>
      </c>
    </row>
    <row r="206" spans="1:31" x14ac:dyDescent="0.3">
      <c r="A206" t="s">
        <v>30</v>
      </c>
      <c r="B206">
        <v>2018</v>
      </c>
      <c r="C206" t="s">
        <v>42</v>
      </c>
      <c r="D206" s="10" t="str">
        <f xml:space="preserve"> _xlfn.CONCAT(Table1[[#This Row],[Month]],",",Table1[[#This Row],[Year]])</f>
        <v>September,2018</v>
      </c>
      <c r="E206">
        <v>139.4</v>
      </c>
      <c r="F206">
        <v>147.19999999999999</v>
      </c>
      <c r="G206">
        <v>136.6</v>
      </c>
      <c r="H206">
        <v>143.69999999999999</v>
      </c>
      <c r="I206">
        <v>124.6</v>
      </c>
      <c r="J206">
        <v>150.1</v>
      </c>
      <c r="K206">
        <v>149.4</v>
      </c>
      <c r="L206">
        <v>125.4</v>
      </c>
      <c r="M206">
        <v>114.4</v>
      </c>
      <c r="N206">
        <v>138.69999999999999</v>
      </c>
      <c r="O206">
        <v>133.1</v>
      </c>
      <c r="P206">
        <v>155.9</v>
      </c>
      <c r="Q206" s="3">
        <v>141.30000000000001</v>
      </c>
      <c r="R206" s="7">
        <v>157.69999999999999</v>
      </c>
      <c r="S206">
        <v>152.1</v>
      </c>
      <c r="T206">
        <v>146.1</v>
      </c>
      <c r="U206" s="5">
        <v>151.30000000000001</v>
      </c>
      <c r="V206" s="6" t="s">
        <v>32</v>
      </c>
      <c r="W206" s="4">
        <v>149</v>
      </c>
      <c r="X206">
        <v>144</v>
      </c>
      <c r="Y206">
        <v>140</v>
      </c>
      <c r="Z206">
        <v>129.9</v>
      </c>
      <c r="AA206">
        <v>140</v>
      </c>
      <c r="AB206">
        <v>147.6</v>
      </c>
      <c r="AC206">
        <v>132</v>
      </c>
      <c r="AD206" s="7">
        <v>137.4</v>
      </c>
      <c r="AE206">
        <v>142.1</v>
      </c>
    </row>
    <row r="207" spans="1:31" x14ac:dyDescent="0.3">
      <c r="A207" t="s">
        <v>33</v>
      </c>
      <c r="B207">
        <v>2018</v>
      </c>
      <c r="C207" t="s">
        <v>42</v>
      </c>
      <c r="D207" s="10" t="str">
        <f xml:space="preserve"> _xlfn.CONCAT(Table1[[#This Row],[Month]],",",Table1[[#This Row],[Year]])</f>
        <v>September,2018</v>
      </c>
      <c r="E207">
        <v>137</v>
      </c>
      <c r="F207">
        <v>143.1</v>
      </c>
      <c r="G207">
        <v>132.80000000000001</v>
      </c>
      <c r="H207">
        <v>141.5</v>
      </c>
      <c r="I207">
        <v>117.8</v>
      </c>
      <c r="J207">
        <v>140</v>
      </c>
      <c r="K207">
        <v>151.30000000000001</v>
      </c>
      <c r="L207">
        <v>113.5</v>
      </c>
      <c r="M207">
        <v>112.3</v>
      </c>
      <c r="N207">
        <v>141.19999999999999</v>
      </c>
      <c r="O207">
        <v>127.7</v>
      </c>
      <c r="P207">
        <v>151.30000000000001</v>
      </c>
      <c r="Q207" s="3">
        <v>138.9</v>
      </c>
      <c r="R207" s="7">
        <v>163.30000000000001</v>
      </c>
      <c r="S207">
        <v>140.80000000000001</v>
      </c>
      <c r="T207">
        <v>129.30000000000001</v>
      </c>
      <c r="U207" s="5">
        <v>139.1</v>
      </c>
      <c r="V207" s="6">
        <v>145.30000000000001</v>
      </c>
      <c r="W207" s="4">
        <v>131.19999999999999</v>
      </c>
      <c r="X207">
        <v>134.9</v>
      </c>
      <c r="Y207">
        <v>135.69999999999999</v>
      </c>
      <c r="Z207">
        <v>122.5</v>
      </c>
      <c r="AA207">
        <v>130.19999999999999</v>
      </c>
      <c r="AB207">
        <v>145.19999999999999</v>
      </c>
      <c r="AC207">
        <v>129.30000000000001</v>
      </c>
      <c r="AD207" s="7">
        <v>131.9</v>
      </c>
      <c r="AE207">
        <v>138.1</v>
      </c>
    </row>
    <row r="208" spans="1:31" x14ac:dyDescent="0.3">
      <c r="A208" t="s">
        <v>34</v>
      </c>
      <c r="B208">
        <v>2018</v>
      </c>
      <c r="C208" t="s">
        <v>42</v>
      </c>
      <c r="D208" s="10" t="str">
        <f xml:space="preserve"> _xlfn.CONCAT(Table1[[#This Row],[Month]],",",Table1[[#This Row],[Year]])</f>
        <v>September,2018</v>
      </c>
      <c r="E208">
        <v>138.6</v>
      </c>
      <c r="F208">
        <v>145.80000000000001</v>
      </c>
      <c r="G208">
        <v>135.1</v>
      </c>
      <c r="H208">
        <v>142.9</v>
      </c>
      <c r="I208">
        <v>122.1</v>
      </c>
      <c r="J208">
        <v>145.4</v>
      </c>
      <c r="K208">
        <v>150</v>
      </c>
      <c r="L208">
        <v>121.4</v>
      </c>
      <c r="M208">
        <v>113.7</v>
      </c>
      <c r="N208">
        <v>139.5</v>
      </c>
      <c r="O208">
        <v>130.80000000000001</v>
      </c>
      <c r="P208">
        <v>153.80000000000001</v>
      </c>
      <c r="Q208" s="3">
        <v>140.4</v>
      </c>
      <c r="R208" s="7">
        <v>159.19999999999999</v>
      </c>
      <c r="S208">
        <v>147.69999999999999</v>
      </c>
      <c r="T208">
        <v>139.1</v>
      </c>
      <c r="U208" s="5">
        <v>146.5</v>
      </c>
      <c r="V208" s="6">
        <v>145.30000000000001</v>
      </c>
      <c r="W208" s="4">
        <v>142.30000000000001</v>
      </c>
      <c r="X208">
        <v>139.69999999999999</v>
      </c>
      <c r="Y208">
        <v>138.4</v>
      </c>
      <c r="Z208">
        <v>126</v>
      </c>
      <c r="AA208">
        <v>134.5</v>
      </c>
      <c r="AB208">
        <v>146.19999999999999</v>
      </c>
      <c r="AC208">
        <v>130.9</v>
      </c>
      <c r="AD208" s="7">
        <v>134.69999999999999</v>
      </c>
      <c r="AE208">
        <v>140.19999999999999</v>
      </c>
    </row>
    <row r="209" spans="1:31" x14ac:dyDescent="0.3">
      <c r="A209" t="s">
        <v>30</v>
      </c>
      <c r="B209">
        <v>2018</v>
      </c>
      <c r="C209" t="s">
        <v>43</v>
      </c>
      <c r="D209" s="10" t="str">
        <f xml:space="preserve"> _xlfn.CONCAT(Table1[[#This Row],[Month]],",",Table1[[#This Row],[Year]])</f>
        <v>October,2018</v>
      </c>
      <c r="E209">
        <v>139.30000000000001</v>
      </c>
      <c r="F209">
        <v>147.6</v>
      </c>
      <c r="G209">
        <v>134.6</v>
      </c>
      <c r="H209">
        <v>141.9</v>
      </c>
      <c r="I209">
        <v>123.5</v>
      </c>
      <c r="J209">
        <v>144.5</v>
      </c>
      <c r="K209">
        <v>147.6</v>
      </c>
      <c r="L209">
        <v>121.4</v>
      </c>
      <c r="M209">
        <v>112.3</v>
      </c>
      <c r="N209">
        <v>139.5</v>
      </c>
      <c r="O209">
        <v>134.6</v>
      </c>
      <c r="P209">
        <v>155.19999999999999</v>
      </c>
      <c r="Q209" s="3">
        <v>140.19999999999999</v>
      </c>
      <c r="R209" s="7">
        <v>159.6</v>
      </c>
      <c r="S209">
        <v>150.69999999999999</v>
      </c>
      <c r="T209">
        <v>144.5</v>
      </c>
      <c r="U209" s="5">
        <v>149.80000000000001</v>
      </c>
      <c r="V209" s="6" t="s">
        <v>32</v>
      </c>
      <c r="W209" s="4">
        <v>149.69999999999999</v>
      </c>
      <c r="X209">
        <v>147.5</v>
      </c>
      <c r="Y209">
        <v>144.80000000000001</v>
      </c>
      <c r="Z209">
        <v>130.80000000000001</v>
      </c>
      <c r="AA209">
        <v>140.1</v>
      </c>
      <c r="AB209">
        <v>148</v>
      </c>
      <c r="AC209">
        <v>134.4</v>
      </c>
      <c r="AD209" s="7">
        <v>139.80000000000001</v>
      </c>
      <c r="AE209">
        <v>142.19999999999999</v>
      </c>
    </row>
    <row r="210" spans="1:31" x14ac:dyDescent="0.3">
      <c r="A210" t="s">
        <v>33</v>
      </c>
      <c r="B210">
        <v>2018</v>
      </c>
      <c r="C210" t="s">
        <v>43</v>
      </c>
      <c r="D210" s="10" t="str">
        <f xml:space="preserve"> _xlfn.CONCAT(Table1[[#This Row],[Month]],",",Table1[[#This Row],[Year]])</f>
        <v>October,2018</v>
      </c>
      <c r="E210">
        <v>137.6</v>
      </c>
      <c r="F210">
        <v>144.9</v>
      </c>
      <c r="G210">
        <v>133.5</v>
      </c>
      <c r="H210">
        <v>141.5</v>
      </c>
      <c r="I210">
        <v>118</v>
      </c>
      <c r="J210">
        <v>139.5</v>
      </c>
      <c r="K210">
        <v>153</v>
      </c>
      <c r="L210">
        <v>113.2</v>
      </c>
      <c r="M210">
        <v>112.8</v>
      </c>
      <c r="N210">
        <v>141.1</v>
      </c>
      <c r="O210">
        <v>127.6</v>
      </c>
      <c r="P210">
        <v>152</v>
      </c>
      <c r="Q210" s="3">
        <v>139.4</v>
      </c>
      <c r="R210" s="7">
        <v>164</v>
      </c>
      <c r="S210">
        <v>141.5</v>
      </c>
      <c r="T210">
        <v>129.80000000000001</v>
      </c>
      <c r="U210" s="5">
        <v>139.69999999999999</v>
      </c>
      <c r="V210" s="6">
        <v>146.30000000000001</v>
      </c>
      <c r="W210" s="4">
        <v>133.4</v>
      </c>
      <c r="X210">
        <v>135.1</v>
      </c>
      <c r="Y210">
        <v>136.19999999999999</v>
      </c>
      <c r="Z210">
        <v>123.3</v>
      </c>
      <c r="AA210">
        <v>130.69999999999999</v>
      </c>
      <c r="AB210">
        <v>145.5</v>
      </c>
      <c r="AC210">
        <v>130.4</v>
      </c>
      <c r="AD210" s="7">
        <v>132.5</v>
      </c>
      <c r="AE210">
        <v>138.9</v>
      </c>
    </row>
    <row r="211" spans="1:31" x14ac:dyDescent="0.3">
      <c r="A211" t="s">
        <v>34</v>
      </c>
      <c r="B211">
        <v>2018</v>
      </c>
      <c r="C211" t="s">
        <v>43</v>
      </c>
      <c r="D211" s="10" t="str">
        <f xml:space="preserve"> _xlfn.CONCAT(Table1[[#This Row],[Month]],",",Table1[[#This Row],[Year]])</f>
        <v>October,2018</v>
      </c>
      <c r="E211">
        <v>137.4</v>
      </c>
      <c r="F211">
        <v>149.5</v>
      </c>
      <c r="G211">
        <v>137.30000000000001</v>
      </c>
      <c r="H211">
        <v>141.9</v>
      </c>
      <c r="I211">
        <v>121.1</v>
      </c>
      <c r="J211">
        <v>142.5</v>
      </c>
      <c r="K211">
        <v>146.69999999999999</v>
      </c>
      <c r="L211">
        <v>119.1</v>
      </c>
      <c r="M211">
        <v>111.9</v>
      </c>
      <c r="N211">
        <v>141</v>
      </c>
      <c r="O211">
        <v>133.6</v>
      </c>
      <c r="P211">
        <v>154.5</v>
      </c>
      <c r="Q211" s="3">
        <v>139.69999999999999</v>
      </c>
      <c r="R211" s="7">
        <v>162.6</v>
      </c>
      <c r="S211">
        <v>148</v>
      </c>
      <c r="T211">
        <v>139.19999999999999</v>
      </c>
      <c r="U211" s="5">
        <v>146.80000000000001</v>
      </c>
      <c r="V211" s="6">
        <v>146.9</v>
      </c>
      <c r="W211" s="4">
        <v>145.30000000000001</v>
      </c>
      <c r="X211">
        <v>142.19999999999999</v>
      </c>
      <c r="Y211">
        <v>142.1</v>
      </c>
      <c r="Z211">
        <v>125.5</v>
      </c>
      <c r="AA211">
        <v>136.5</v>
      </c>
      <c r="AB211">
        <v>147.80000000000001</v>
      </c>
      <c r="AC211">
        <v>132</v>
      </c>
      <c r="AD211" s="7">
        <v>136.30000000000001</v>
      </c>
      <c r="AE211">
        <v>140.80000000000001</v>
      </c>
    </row>
    <row r="212" spans="1:31" x14ac:dyDescent="0.3">
      <c r="A212" t="s">
        <v>30</v>
      </c>
      <c r="B212">
        <v>2018</v>
      </c>
      <c r="C212" t="s">
        <v>45</v>
      </c>
      <c r="D212" s="10" t="str">
        <f xml:space="preserve"> _xlfn.CONCAT(Table1[[#This Row],[Month]],",",Table1[[#This Row],[Year]])</f>
        <v>November,2018</v>
      </c>
      <c r="E212">
        <v>137.1</v>
      </c>
      <c r="F212">
        <v>150.80000000000001</v>
      </c>
      <c r="G212">
        <v>136.69999999999999</v>
      </c>
      <c r="H212">
        <v>141.9</v>
      </c>
      <c r="I212">
        <v>122.8</v>
      </c>
      <c r="J212">
        <v>143.9</v>
      </c>
      <c r="K212">
        <v>147.5</v>
      </c>
      <c r="L212">
        <v>121</v>
      </c>
      <c r="M212">
        <v>111.6</v>
      </c>
      <c r="N212">
        <v>140.6</v>
      </c>
      <c r="O212">
        <v>137.5</v>
      </c>
      <c r="P212">
        <v>156.1</v>
      </c>
      <c r="Q212" s="3">
        <v>140</v>
      </c>
      <c r="R212" s="7">
        <v>161.9</v>
      </c>
      <c r="S212">
        <v>151.69999999999999</v>
      </c>
      <c r="T212">
        <v>145.5</v>
      </c>
      <c r="U212" s="5">
        <v>150.80000000000001</v>
      </c>
      <c r="V212" s="6" t="s">
        <v>32</v>
      </c>
      <c r="W212" s="4">
        <v>150.30000000000001</v>
      </c>
      <c r="X212">
        <v>148</v>
      </c>
      <c r="Y212">
        <v>145.4</v>
      </c>
      <c r="Z212">
        <v>130.30000000000001</v>
      </c>
      <c r="AA212">
        <v>143.1</v>
      </c>
      <c r="AB212">
        <v>150.19999999999999</v>
      </c>
      <c r="AC212">
        <v>133.1</v>
      </c>
      <c r="AD212" s="7">
        <v>140.1</v>
      </c>
      <c r="AE212">
        <v>142.4</v>
      </c>
    </row>
    <row r="213" spans="1:31" x14ac:dyDescent="0.3">
      <c r="A213" t="s">
        <v>33</v>
      </c>
      <c r="B213">
        <v>2018</v>
      </c>
      <c r="C213" t="s">
        <v>45</v>
      </c>
      <c r="D213" s="10" t="str">
        <f xml:space="preserve"> _xlfn.CONCAT(Table1[[#This Row],[Month]],",",Table1[[#This Row],[Year]])</f>
        <v>November,2018</v>
      </c>
      <c r="E213">
        <v>138.1</v>
      </c>
      <c r="F213">
        <v>146.30000000000001</v>
      </c>
      <c r="G213">
        <v>137.80000000000001</v>
      </c>
      <c r="H213">
        <v>141.6</v>
      </c>
      <c r="I213">
        <v>118.1</v>
      </c>
      <c r="J213">
        <v>141.5</v>
      </c>
      <c r="K213">
        <v>145.19999999999999</v>
      </c>
      <c r="L213">
        <v>115.3</v>
      </c>
      <c r="M213">
        <v>112.5</v>
      </c>
      <c r="N213">
        <v>141.4</v>
      </c>
      <c r="O213">
        <v>128</v>
      </c>
      <c r="P213">
        <v>152.6</v>
      </c>
      <c r="Q213" s="3">
        <v>139.1</v>
      </c>
      <c r="R213" s="7">
        <v>164.4</v>
      </c>
      <c r="S213">
        <v>142.4</v>
      </c>
      <c r="T213">
        <v>130.19999999999999</v>
      </c>
      <c r="U213" s="5">
        <v>140.5</v>
      </c>
      <c r="V213" s="6">
        <v>146.9</v>
      </c>
      <c r="W213" s="4">
        <v>136.69999999999999</v>
      </c>
      <c r="X213">
        <v>135.80000000000001</v>
      </c>
      <c r="Y213">
        <v>136.80000000000001</v>
      </c>
      <c r="Z213">
        <v>121.2</v>
      </c>
      <c r="AA213">
        <v>131.30000000000001</v>
      </c>
      <c r="AB213">
        <v>146.1</v>
      </c>
      <c r="AC213">
        <v>130.5</v>
      </c>
      <c r="AD213" s="7">
        <v>132.19999999999999</v>
      </c>
      <c r="AE213">
        <v>139</v>
      </c>
    </row>
    <row r="214" spans="1:31" x14ac:dyDescent="0.3">
      <c r="A214" t="s">
        <v>34</v>
      </c>
      <c r="B214">
        <v>2018</v>
      </c>
      <c r="C214" t="s">
        <v>45</v>
      </c>
      <c r="D214" s="10" t="str">
        <f xml:space="preserve"> _xlfn.CONCAT(Table1[[#This Row],[Month]],",",Table1[[#This Row],[Year]])</f>
        <v>November,2018</v>
      </c>
      <c r="E214">
        <v>137.4</v>
      </c>
      <c r="F214">
        <v>149.19999999999999</v>
      </c>
      <c r="G214">
        <v>137.1</v>
      </c>
      <c r="H214">
        <v>141.80000000000001</v>
      </c>
      <c r="I214">
        <v>121.1</v>
      </c>
      <c r="J214">
        <v>142.80000000000001</v>
      </c>
      <c r="K214">
        <v>146.69999999999999</v>
      </c>
      <c r="L214">
        <v>119.1</v>
      </c>
      <c r="M214">
        <v>111.9</v>
      </c>
      <c r="N214">
        <v>140.9</v>
      </c>
      <c r="O214">
        <v>133.5</v>
      </c>
      <c r="P214">
        <v>154.5</v>
      </c>
      <c r="Q214" s="3">
        <v>139.69999999999999</v>
      </c>
      <c r="R214" s="7">
        <v>162.6</v>
      </c>
      <c r="S214">
        <v>148</v>
      </c>
      <c r="T214">
        <v>139.1</v>
      </c>
      <c r="U214" s="5">
        <v>146.69999999999999</v>
      </c>
      <c r="V214" s="6">
        <v>146.9</v>
      </c>
      <c r="W214" s="4">
        <v>145.1</v>
      </c>
      <c r="X214">
        <v>142.19999999999999</v>
      </c>
      <c r="Y214">
        <v>142.1</v>
      </c>
      <c r="Z214">
        <v>125.5</v>
      </c>
      <c r="AA214">
        <v>136.5</v>
      </c>
      <c r="AB214">
        <v>147.80000000000001</v>
      </c>
      <c r="AC214">
        <v>132</v>
      </c>
      <c r="AD214" s="7">
        <v>136.30000000000001</v>
      </c>
      <c r="AE214">
        <v>140.80000000000001</v>
      </c>
    </row>
    <row r="215" spans="1:31" x14ac:dyDescent="0.3">
      <c r="A215" t="s">
        <v>30</v>
      </c>
      <c r="B215">
        <v>2018</v>
      </c>
      <c r="C215" t="s">
        <v>46</v>
      </c>
      <c r="D215" s="10" t="str">
        <f xml:space="preserve"> _xlfn.CONCAT(Table1[[#This Row],[Month]],",",Table1[[#This Row],[Year]])</f>
        <v>December,2018</v>
      </c>
      <c r="E215">
        <v>137.1</v>
      </c>
      <c r="F215">
        <v>151.9</v>
      </c>
      <c r="G215">
        <v>137.4</v>
      </c>
      <c r="H215">
        <v>142.4</v>
      </c>
      <c r="I215">
        <v>124.2</v>
      </c>
      <c r="J215">
        <v>140.19999999999999</v>
      </c>
      <c r="K215">
        <v>136.6</v>
      </c>
      <c r="L215">
        <v>120.9</v>
      </c>
      <c r="M215">
        <v>109.9</v>
      </c>
      <c r="N215">
        <v>140.19999999999999</v>
      </c>
      <c r="O215">
        <v>137.80000000000001</v>
      </c>
      <c r="P215">
        <v>156</v>
      </c>
      <c r="Q215" s="3">
        <v>138.5</v>
      </c>
      <c r="R215" s="7">
        <v>162.4</v>
      </c>
      <c r="S215">
        <v>151.6</v>
      </c>
      <c r="T215">
        <v>145.9</v>
      </c>
      <c r="U215" s="5">
        <v>150.80000000000001</v>
      </c>
      <c r="V215" s="6" t="s">
        <v>32</v>
      </c>
      <c r="W215" s="4">
        <v>149</v>
      </c>
      <c r="X215">
        <v>149.5</v>
      </c>
      <c r="Y215">
        <v>149.6</v>
      </c>
      <c r="Z215">
        <v>128.9</v>
      </c>
      <c r="AA215">
        <v>143.30000000000001</v>
      </c>
      <c r="AB215">
        <v>155.1</v>
      </c>
      <c r="AC215">
        <v>133.19999999999999</v>
      </c>
      <c r="AD215" s="7">
        <v>141.6</v>
      </c>
      <c r="AE215">
        <v>141.9</v>
      </c>
    </row>
    <row r="216" spans="1:31" x14ac:dyDescent="0.3">
      <c r="A216" t="s">
        <v>33</v>
      </c>
      <c r="B216">
        <v>2018</v>
      </c>
      <c r="C216" t="s">
        <v>46</v>
      </c>
      <c r="D216" s="10" t="str">
        <f xml:space="preserve"> _xlfn.CONCAT(Table1[[#This Row],[Month]],",",Table1[[#This Row],[Year]])</f>
        <v>December,2018</v>
      </c>
      <c r="E216">
        <v>138.5</v>
      </c>
      <c r="F216">
        <v>147.80000000000001</v>
      </c>
      <c r="G216">
        <v>141.1</v>
      </c>
      <c r="H216">
        <v>141.6</v>
      </c>
      <c r="I216">
        <v>118.1</v>
      </c>
      <c r="J216">
        <v>138.5</v>
      </c>
      <c r="K216">
        <v>132.4</v>
      </c>
      <c r="L216">
        <v>117.5</v>
      </c>
      <c r="M216">
        <v>111</v>
      </c>
      <c r="N216">
        <v>141.5</v>
      </c>
      <c r="O216">
        <v>128.1</v>
      </c>
      <c r="P216">
        <v>152.9</v>
      </c>
      <c r="Q216" s="3">
        <v>137.6</v>
      </c>
      <c r="R216" s="7">
        <v>164.6</v>
      </c>
      <c r="S216">
        <v>142.69999999999999</v>
      </c>
      <c r="T216">
        <v>130.30000000000001</v>
      </c>
      <c r="U216" s="5">
        <v>140.80000000000001</v>
      </c>
      <c r="V216" s="6">
        <v>146.5</v>
      </c>
      <c r="W216" s="4">
        <v>132.4</v>
      </c>
      <c r="X216">
        <v>136.19999999999999</v>
      </c>
      <c r="Y216">
        <v>137.30000000000001</v>
      </c>
      <c r="Z216">
        <v>118.8</v>
      </c>
      <c r="AA216">
        <v>131.69999999999999</v>
      </c>
      <c r="AB216">
        <v>146.5</v>
      </c>
      <c r="AC216">
        <v>130.80000000000001</v>
      </c>
      <c r="AD216" s="7">
        <v>131.69999999999999</v>
      </c>
      <c r="AE216">
        <v>138</v>
      </c>
    </row>
    <row r="217" spans="1:31" x14ac:dyDescent="0.3">
      <c r="A217" t="s">
        <v>34</v>
      </c>
      <c r="B217">
        <v>2018</v>
      </c>
      <c r="C217" t="s">
        <v>46</v>
      </c>
      <c r="D217" s="10" t="str">
        <f xml:space="preserve"> _xlfn.CONCAT(Table1[[#This Row],[Month]],",",Table1[[#This Row],[Year]])</f>
        <v>December,2018</v>
      </c>
      <c r="E217">
        <v>137.5</v>
      </c>
      <c r="F217">
        <v>150.5</v>
      </c>
      <c r="G217">
        <v>138.80000000000001</v>
      </c>
      <c r="H217">
        <v>142.1</v>
      </c>
      <c r="I217">
        <v>122</v>
      </c>
      <c r="J217">
        <v>139.4</v>
      </c>
      <c r="K217">
        <v>135.19999999999999</v>
      </c>
      <c r="L217">
        <v>119.8</v>
      </c>
      <c r="M217">
        <v>110.3</v>
      </c>
      <c r="N217">
        <v>140.6</v>
      </c>
      <c r="O217">
        <v>133.80000000000001</v>
      </c>
      <c r="P217">
        <v>154.6</v>
      </c>
      <c r="Q217" s="3">
        <v>138.19999999999999</v>
      </c>
      <c r="R217" s="7">
        <v>163</v>
      </c>
      <c r="S217">
        <v>148.1</v>
      </c>
      <c r="T217">
        <v>139.4</v>
      </c>
      <c r="U217" s="5">
        <v>146.80000000000001</v>
      </c>
      <c r="V217" s="6">
        <v>146.5</v>
      </c>
      <c r="W217" s="4">
        <v>142.69999999999999</v>
      </c>
      <c r="X217">
        <v>143.19999999999999</v>
      </c>
      <c r="Y217">
        <v>144.9</v>
      </c>
      <c r="Z217">
        <v>123.6</v>
      </c>
      <c r="AA217">
        <v>136.80000000000001</v>
      </c>
      <c r="AB217">
        <v>150.1</v>
      </c>
      <c r="AC217">
        <v>132.19999999999999</v>
      </c>
      <c r="AD217" s="7">
        <v>136.80000000000001</v>
      </c>
      <c r="AE217">
        <v>140.1</v>
      </c>
    </row>
    <row r="218" spans="1:31" x14ac:dyDescent="0.3">
      <c r="A218" t="s">
        <v>30</v>
      </c>
      <c r="B218">
        <v>2019</v>
      </c>
      <c r="C218" t="s">
        <v>31</v>
      </c>
      <c r="D218" s="10" t="str">
        <f xml:space="preserve"> _xlfn.CONCAT(Table1[[#This Row],[Month]],",",Table1[[#This Row],[Year]])</f>
        <v>January,2019</v>
      </c>
      <c r="E218">
        <v>136.6</v>
      </c>
      <c r="F218">
        <v>152.5</v>
      </c>
      <c r="G218">
        <v>138.19999999999999</v>
      </c>
      <c r="H218">
        <v>142.4</v>
      </c>
      <c r="I218">
        <v>123.9</v>
      </c>
      <c r="J218">
        <v>135.5</v>
      </c>
      <c r="K218">
        <v>131.69999999999999</v>
      </c>
      <c r="L218">
        <v>121.3</v>
      </c>
      <c r="M218">
        <v>108.4</v>
      </c>
      <c r="N218">
        <v>138.9</v>
      </c>
      <c r="O218">
        <v>137</v>
      </c>
      <c r="P218">
        <v>155.80000000000001</v>
      </c>
      <c r="Q218" s="3">
        <v>137.4</v>
      </c>
      <c r="R218" s="7">
        <v>162.69999999999999</v>
      </c>
      <c r="S218">
        <v>150.6</v>
      </c>
      <c r="T218">
        <v>145.1</v>
      </c>
      <c r="U218" s="5">
        <v>149.9</v>
      </c>
      <c r="V218" s="6" t="s">
        <v>32</v>
      </c>
      <c r="W218" s="4">
        <v>146.19999999999999</v>
      </c>
      <c r="X218">
        <v>150.1</v>
      </c>
      <c r="Y218">
        <v>149.6</v>
      </c>
      <c r="Z218">
        <v>128.6</v>
      </c>
      <c r="AA218">
        <v>142.9</v>
      </c>
      <c r="AB218">
        <v>155.19999999999999</v>
      </c>
      <c r="AC218">
        <v>133.5</v>
      </c>
      <c r="AD218" s="7">
        <v>141.69999999999999</v>
      </c>
      <c r="AE218">
        <v>141</v>
      </c>
    </row>
    <row r="219" spans="1:31" x14ac:dyDescent="0.3">
      <c r="A219" t="s">
        <v>33</v>
      </c>
      <c r="B219">
        <v>2019</v>
      </c>
      <c r="C219" t="s">
        <v>31</v>
      </c>
      <c r="D219" s="10" t="str">
        <f xml:space="preserve"> _xlfn.CONCAT(Table1[[#This Row],[Month]],",",Table1[[#This Row],[Year]])</f>
        <v>January,2019</v>
      </c>
      <c r="E219">
        <v>138.30000000000001</v>
      </c>
      <c r="F219">
        <v>149.4</v>
      </c>
      <c r="G219">
        <v>143.5</v>
      </c>
      <c r="H219">
        <v>141.69999999999999</v>
      </c>
      <c r="I219">
        <v>118.1</v>
      </c>
      <c r="J219">
        <v>135.19999999999999</v>
      </c>
      <c r="K219">
        <v>130.5</v>
      </c>
      <c r="L219">
        <v>118.2</v>
      </c>
      <c r="M219">
        <v>110.4</v>
      </c>
      <c r="N219">
        <v>140.4</v>
      </c>
      <c r="O219">
        <v>128.1</v>
      </c>
      <c r="P219">
        <v>153.19999999999999</v>
      </c>
      <c r="Q219" s="3">
        <v>137.30000000000001</v>
      </c>
      <c r="R219" s="7">
        <v>164.7</v>
      </c>
      <c r="S219">
        <v>143</v>
      </c>
      <c r="T219">
        <v>130.4</v>
      </c>
      <c r="U219" s="5">
        <v>141.1</v>
      </c>
      <c r="V219" s="6">
        <v>147.69999999999999</v>
      </c>
      <c r="W219" s="4">
        <v>128.6</v>
      </c>
      <c r="X219">
        <v>136.30000000000001</v>
      </c>
      <c r="Y219">
        <v>137.80000000000001</v>
      </c>
      <c r="Z219">
        <v>118.6</v>
      </c>
      <c r="AA219">
        <v>131.9</v>
      </c>
      <c r="AB219">
        <v>146.6</v>
      </c>
      <c r="AC219">
        <v>131.69999999999999</v>
      </c>
      <c r="AD219" s="7">
        <v>131.80000000000001</v>
      </c>
      <c r="AE219">
        <v>138</v>
      </c>
    </row>
    <row r="220" spans="1:31" x14ac:dyDescent="0.3">
      <c r="A220" t="s">
        <v>34</v>
      </c>
      <c r="B220">
        <v>2019</v>
      </c>
      <c r="C220" t="s">
        <v>31</v>
      </c>
      <c r="D220" s="10" t="str">
        <f xml:space="preserve"> _xlfn.CONCAT(Table1[[#This Row],[Month]],",",Table1[[#This Row],[Year]])</f>
        <v>January,2019</v>
      </c>
      <c r="E220">
        <v>137.1</v>
      </c>
      <c r="F220">
        <v>151.4</v>
      </c>
      <c r="G220">
        <v>140.19999999999999</v>
      </c>
      <c r="H220">
        <v>142.1</v>
      </c>
      <c r="I220">
        <v>121.8</v>
      </c>
      <c r="J220">
        <v>135.4</v>
      </c>
      <c r="K220">
        <v>131.30000000000001</v>
      </c>
      <c r="L220">
        <v>120.3</v>
      </c>
      <c r="M220">
        <v>109.1</v>
      </c>
      <c r="N220">
        <v>139.4</v>
      </c>
      <c r="O220">
        <v>133.30000000000001</v>
      </c>
      <c r="P220">
        <v>154.6</v>
      </c>
      <c r="Q220" s="3">
        <v>137.4</v>
      </c>
      <c r="R220" s="7">
        <v>163.19999999999999</v>
      </c>
      <c r="S220">
        <v>147.6</v>
      </c>
      <c r="T220">
        <v>139</v>
      </c>
      <c r="U220" s="5">
        <v>146.4</v>
      </c>
      <c r="V220" s="6">
        <v>147.69999999999999</v>
      </c>
      <c r="W220" s="4">
        <v>139.5</v>
      </c>
      <c r="X220">
        <v>143.6</v>
      </c>
      <c r="Y220">
        <v>145.1</v>
      </c>
      <c r="Z220">
        <v>123.3</v>
      </c>
      <c r="AA220">
        <v>136.69999999999999</v>
      </c>
      <c r="AB220">
        <v>150.19999999999999</v>
      </c>
      <c r="AC220">
        <v>132.80000000000001</v>
      </c>
      <c r="AD220" s="7">
        <v>136.9</v>
      </c>
      <c r="AE220">
        <v>139.6</v>
      </c>
    </row>
    <row r="221" spans="1:31" x14ac:dyDescent="0.3">
      <c r="A221" t="s">
        <v>30</v>
      </c>
      <c r="B221">
        <v>2019</v>
      </c>
      <c r="C221" t="s">
        <v>35</v>
      </c>
      <c r="D221" s="10" t="str">
        <f xml:space="preserve"> _xlfn.CONCAT(Table1[[#This Row],[Month]],",",Table1[[#This Row],[Year]])</f>
        <v>February,2019</v>
      </c>
      <c r="E221">
        <v>136.80000000000001</v>
      </c>
      <c r="F221">
        <v>153</v>
      </c>
      <c r="G221">
        <v>139.1</v>
      </c>
      <c r="H221">
        <v>142.5</v>
      </c>
      <c r="I221">
        <v>124.1</v>
      </c>
      <c r="J221">
        <v>135.80000000000001</v>
      </c>
      <c r="K221">
        <v>128.69999999999999</v>
      </c>
      <c r="L221">
        <v>121.5</v>
      </c>
      <c r="M221">
        <v>108.3</v>
      </c>
      <c r="N221">
        <v>139.19999999999999</v>
      </c>
      <c r="O221">
        <v>137.4</v>
      </c>
      <c r="P221">
        <v>156.19999999999999</v>
      </c>
      <c r="Q221" s="3">
        <v>137.19999999999999</v>
      </c>
      <c r="R221" s="7">
        <v>162.80000000000001</v>
      </c>
      <c r="S221">
        <v>150.5</v>
      </c>
      <c r="T221">
        <v>146.1</v>
      </c>
      <c r="U221" s="5">
        <v>149.9</v>
      </c>
      <c r="V221" s="6" t="s">
        <v>32</v>
      </c>
      <c r="W221" s="4">
        <v>145.30000000000001</v>
      </c>
      <c r="X221">
        <v>150.1</v>
      </c>
      <c r="Y221">
        <v>149.9</v>
      </c>
      <c r="Z221">
        <v>129.19999999999999</v>
      </c>
      <c r="AA221">
        <v>143.4</v>
      </c>
      <c r="AB221">
        <v>155.5</v>
      </c>
      <c r="AC221">
        <v>134.9</v>
      </c>
      <c r="AD221" s="7">
        <v>142.19999999999999</v>
      </c>
      <c r="AE221">
        <v>141</v>
      </c>
    </row>
    <row r="222" spans="1:31" x14ac:dyDescent="0.3">
      <c r="A222" t="s">
        <v>33</v>
      </c>
      <c r="B222">
        <v>2019</v>
      </c>
      <c r="C222" t="s">
        <v>35</v>
      </c>
      <c r="D222" s="10" t="str">
        <f xml:space="preserve"> _xlfn.CONCAT(Table1[[#This Row],[Month]],",",Table1[[#This Row],[Year]])</f>
        <v>February,2019</v>
      </c>
      <c r="E222">
        <v>139.4</v>
      </c>
      <c r="F222">
        <v>150.1</v>
      </c>
      <c r="G222">
        <v>145.30000000000001</v>
      </c>
      <c r="H222">
        <v>141.69999999999999</v>
      </c>
      <c r="I222">
        <v>118.4</v>
      </c>
      <c r="J222">
        <v>137</v>
      </c>
      <c r="K222">
        <v>131.6</v>
      </c>
      <c r="L222">
        <v>119.9</v>
      </c>
      <c r="M222">
        <v>110.4</v>
      </c>
      <c r="N222">
        <v>140.80000000000001</v>
      </c>
      <c r="O222">
        <v>128.30000000000001</v>
      </c>
      <c r="P222">
        <v>153.5</v>
      </c>
      <c r="Q222" s="3">
        <v>138</v>
      </c>
      <c r="R222" s="7">
        <v>164.9</v>
      </c>
      <c r="S222">
        <v>143.30000000000001</v>
      </c>
      <c r="T222">
        <v>130.80000000000001</v>
      </c>
      <c r="U222" s="5">
        <v>141.4</v>
      </c>
      <c r="V222" s="6">
        <v>148.5</v>
      </c>
      <c r="W222" s="4">
        <v>127.1</v>
      </c>
      <c r="X222">
        <v>136.6</v>
      </c>
      <c r="Y222">
        <v>138.5</v>
      </c>
      <c r="Z222">
        <v>119.2</v>
      </c>
      <c r="AA222">
        <v>132.19999999999999</v>
      </c>
      <c r="AB222">
        <v>146.6</v>
      </c>
      <c r="AC222">
        <v>133</v>
      </c>
      <c r="AD222" s="7">
        <v>132.4</v>
      </c>
      <c r="AE222">
        <v>138.6</v>
      </c>
    </row>
    <row r="223" spans="1:31" x14ac:dyDescent="0.3">
      <c r="A223" t="s">
        <v>34</v>
      </c>
      <c r="B223">
        <v>2019</v>
      </c>
      <c r="C223" t="s">
        <v>35</v>
      </c>
      <c r="D223" s="10" t="str">
        <f xml:space="preserve"> _xlfn.CONCAT(Table1[[#This Row],[Month]],",",Table1[[#This Row],[Year]])</f>
        <v>February,2019</v>
      </c>
      <c r="E223">
        <v>137.6</v>
      </c>
      <c r="F223">
        <v>152</v>
      </c>
      <c r="G223">
        <v>141.5</v>
      </c>
      <c r="H223">
        <v>142.19999999999999</v>
      </c>
      <c r="I223">
        <v>122</v>
      </c>
      <c r="J223">
        <v>136.4</v>
      </c>
      <c r="K223">
        <v>129.69999999999999</v>
      </c>
      <c r="L223">
        <v>121</v>
      </c>
      <c r="M223">
        <v>109</v>
      </c>
      <c r="N223">
        <v>139.69999999999999</v>
      </c>
      <c r="O223">
        <v>133.6</v>
      </c>
      <c r="P223">
        <v>154.9</v>
      </c>
      <c r="Q223" s="3">
        <v>137.5</v>
      </c>
      <c r="R223" s="7">
        <v>163.4</v>
      </c>
      <c r="S223">
        <v>147.69999999999999</v>
      </c>
      <c r="T223">
        <v>139.69999999999999</v>
      </c>
      <c r="U223" s="5">
        <v>146.5</v>
      </c>
      <c r="V223" s="6">
        <v>148.5</v>
      </c>
      <c r="W223" s="4">
        <v>138.4</v>
      </c>
      <c r="X223">
        <v>143.69999999999999</v>
      </c>
      <c r="Y223">
        <v>145.6</v>
      </c>
      <c r="Z223">
        <v>123.9</v>
      </c>
      <c r="AA223">
        <v>137.1</v>
      </c>
      <c r="AB223">
        <v>150.30000000000001</v>
      </c>
      <c r="AC223">
        <v>134.1</v>
      </c>
      <c r="AD223" s="7">
        <v>137.4</v>
      </c>
      <c r="AE223">
        <v>139.9</v>
      </c>
    </row>
    <row r="224" spans="1:31" x14ac:dyDescent="0.3">
      <c r="A224" t="s">
        <v>30</v>
      </c>
      <c r="B224">
        <v>2019</v>
      </c>
      <c r="C224" t="s">
        <v>36</v>
      </c>
      <c r="D224" s="10" t="str">
        <f xml:space="preserve"> _xlfn.CONCAT(Table1[[#This Row],[Month]],",",Table1[[#This Row],[Year]])</f>
        <v>March,2019</v>
      </c>
      <c r="E224">
        <v>136.9</v>
      </c>
      <c r="F224">
        <v>154.1</v>
      </c>
      <c r="G224">
        <v>138.69999999999999</v>
      </c>
      <c r="H224">
        <v>142.5</v>
      </c>
      <c r="I224">
        <v>124.1</v>
      </c>
      <c r="J224">
        <v>136.1</v>
      </c>
      <c r="K224">
        <v>128.19999999999999</v>
      </c>
      <c r="L224">
        <v>122.3</v>
      </c>
      <c r="M224">
        <v>108.3</v>
      </c>
      <c r="N224">
        <v>138.9</v>
      </c>
      <c r="O224">
        <v>137.4</v>
      </c>
      <c r="P224">
        <v>156.4</v>
      </c>
      <c r="Q224" s="3">
        <v>137.30000000000001</v>
      </c>
      <c r="R224" s="7">
        <v>162.9</v>
      </c>
      <c r="S224">
        <v>150.80000000000001</v>
      </c>
      <c r="T224">
        <v>146.1</v>
      </c>
      <c r="U224" s="5">
        <v>150.1</v>
      </c>
      <c r="V224" s="6" t="s">
        <v>32</v>
      </c>
      <c r="W224" s="4">
        <v>146.4</v>
      </c>
      <c r="X224">
        <v>150</v>
      </c>
      <c r="Y224">
        <v>150.4</v>
      </c>
      <c r="Z224">
        <v>129.9</v>
      </c>
      <c r="AA224">
        <v>143.80000000000001</v>
      </c>
      <c r="AB224">
        <v>155.5</v>
      </c>
      <c r="AC224">
        <v>134</v>
      </c>
      <c r="AD224" s="7">
        <v>142.4</v>
      </c>
      <c r="AE224">
        <v>141.19999999999999</v>
      </c>
    </row>
    <row r="225" spans="1:31" x14ac:dyDescent="0.3">
      <c r="A225" t="s">
        <v>33</v>
      </c>
      <c r="B225">
        <v>2019</v>
      </c>
      <c r="C225" t="s">
        <v>36</v>
      </c>
      <c r="D225" s="10" t="str">
        <f xml:space="preserve"> _xlfn.CONCAT(Table1[[#This Row],[Month]],",",Table1[[#This Row],[Year]])</f>
        <v>March,2019</v>
      </c>
      <c r="E225">
        <v>139.69999999999999</v>
      </c>
      <c r="F225">
        <v>151.1</v>
      </c>
      <c r="G225">
        <v>142.9</v>
      </c>
      <c r="H225">
        <v>141.9</v>
      </c>
      <c r="I225">
        <v>118.4</v>
      </c>
      <c r="J225">
        <v>139.4</v>
      </c>
      <c r="K225">
        <v>141.19999999999999</v>
      </c>
      <c r="L225">
        <v>120.7</v>
      </c>
      <c r="M225">
        <v>110.4</v>
      </c>
      <c r="N225">
        <v>140.69999999999999</v>
      </c>
      <c r="O225">
        <v>128.5</v>
      </c>
      <c r="P225">
        <v>153.9</v>
      </c>
      <c r="Q225" s="3">
        <v>139.6</v>
      </c>
      <c r="R225" s="7">
        <v>165.3</v>
      </c>
      <c r="S225">
        <v>143.5</v>
      </c>
      <c r="T225">
        <v>131.19999999999999</v>
      </c>
      <c r="U225" s="5">
        <v>141.6</v>
      </c>
      <c r="V225" s="6">
        <v>149</v>
      </c>
      <c r="W225" s="4">
        <v>128.80000000000001</v>
      </c>
      <c r="X225">
        <v>136.80000000000001</v>
      </c>
      <c r="Y225">
        <v>139.19999999999999</v>
      </c>
      <c r="Z225">
        <v>119.9</v>
      </c>
      <c r="AA225">
        <v>133</v>
      </c>
      <c r="AB225">
        <v>146.69999999999999</v>
      </c>
      <c r="AC225">
        <v>132.5</v>
      </c>
      <c r="AD225" s="7">
        <v>132.80000000000001</v>
      </c>
      <c r="AE225">
        <v>139.5</v>
      </c>
    </row>
    <row r="226" spans="1:31" x14ac:dyDescent="0.3">
      <c r="A226" t="s">
        <v>34</v>
      </c>
      <c r="B226">
        <v>2019</v>
      </c>
      <c r="C226" t="s">
        <v>36</v>
      </c>
      <c r="D226" s="10" t="str">
        <f xml:space="preserve"> _xlfn.CONCAT(Table1[[#This Row],[Month]],",",Table1[[#This Row],[Year]])</f>
        <v>March,2019</v>
      </c>
      <c r="E226">
        <v>137.80000000000001</v>
      </c>
      <c r="F226">
        <v>153</v>
      </c>
      <c r="G226">
        <v>140.30000000000001</v>
      </c>
      <c r="H226">
        <v>142.30000000000001</v>
      </c>
      <c r="I226">
        <v>122</v>
      </c>
      <c r="J226">
        <v>137.6</v>
      </c>
      <c r="K226">
        <v>132.6</v>
      </c>
      <c r="L226">
        <v>121.8</v>
      </c>
      <c r="M226">
        <v>109</v>
      </c>
      <c r="N226">
        <v>139.5</v>
      </c>
      <c r="O226">
        <v>133.69999999999999</v>
      </c>
      <c r="P226">
        <v>155.19999999999999</v>
      </c>
      <c r="Q226" s="3">
        <v>138.1</v>
      </c>
      <c r="R226" s="7">
        <v>163.5</v>
      </c>
      <c r="S226">
        <v>147.9</v>
      </c>
      <c r="T226">
        <v>139.9</v>
      </c>
      <c r="U226" s="5">
        <v>146.69999999999999</v>
      </c>
      <c r="V226" s="6">
        <v>149</v>
      </c>
      <c r="W226" s="4">
        <v>139.69999999999999</v>
      </c>
      <c r="X226">
        <v>143.80000000000001</v>
      </c>
      <c r="Y226">
        <v>146.19999999999999</v>
      </c>
      <c r="Z226">
        <v>124.6</v>
      </c>
      <c r="AA226">
        <v>137.69999999999999</v>
      </c>
      <c r="AB226">
        <v>150.30000000000001</v>
      </c>
      <c r="AC226">
        <v>133.4</v>
      </c>
      <c r="AD226" s="7">
        <v>137.69999999999999</v>
      </c>
      <c r="AE226">
        <v>140.4</v>
      </c>
    </row>
    <row r="227" spans="1:31" x14ac:dyDescent="0.3">
      <c r="A227" t="s">
        <v>34</v>
      </c>
      <c r="B227">
        <v>2019</v>
      </c>
      <c r="C227" t="s">
        <v>37</v>
      </c>
      <c r="D227" s="10" t="str">
        <f xml:space="preserve"> _xlfn.CONCAT(Table1[[#This Row],[Month]],",",Table1[[#This Row],[Year]])</f>
        <v>April,2019</v>
      </c>
      <c r="E227">
        <v>138</v>
      </c>
      <c r="F227">
        <v>155.69999999999999</v>
      </c>
      <c r="G227">
        <v>138.1</v>
      </c>
      <c r="H227">
        <v>142.4</v>
      </c>
      <c r="I227">
        <v>122</v>
      </c>
      <c r="J227">
        <v>137.80000000000001</v>
      </c>
      <c r="K227">
        <v>137.6</v>
      </c>
      <c r="L227">
        <v>123.3</v>
      </c>
      <c r="M227">
        <v>109.4</v>
      </c>
      <c r="N227">
        <v>139.69999999999999</v>
      </c>
      <c r="O227">
        <v>133.80000000000001</v>
      </c>
      <c r="P227">
        <v>155.30000000000001</v>
      </c>
      <c r="Q227" s="3">
        <v>139.4</v>
      </c>
      <c r="R227" s="7">
        <v>163.80000000000001</v>
      </c>
      <c r="S227">
        <v>148.1</v>
      </c>
      <c r="T227">
        <v>140.1</v>
      </c>
      <c r="U227" s="5">
        <v>147</v>
      </c>
      <c r="V227" s="6">
        <v>149.5</v>
      </c>
      <c r="W227" s="4">
        <v>140</v>
      </c>
      <c r="X227">
        <v>143.69999999999999</v>
      </c>
      <c r="Y227">
        <v>146.5</v>
      </c>
      <c r="Z227">
        <v>124.7</v>
      </c>
      <c r="AA227">
        <v>138.4</v>
      </c>
      <c r="AB227">
        <v>150.9</v>
      </c>
      <c r="AC227">
        <v>133.4</v>
      </c>
      <c r="AD227" s="7">
        <v>137.9</v>
      </c>
      <c r="AE227">
        <v>141.19999999999999</v>
      </c>
    </row>
    <row r="228" spans="1:31" x14ac:dyDescent="0.3">
      <c r="A228" t="s">
        <v>30</v>
      </c>
      <c r="B228">
        <v>2019</v>
      </c>
      <c r="C228" t="s">
        <v>38</v>
      </c>
      <c r="D228" s="10" t="str">
        <f xml:space="preserve"> _xlfn.CONCAT(Table1[[#This Row],[Month]],",",Table1[[#This Row],[Year]])</f>
        <v>May,2019</v>
      </c>
      <c r="E228">
        <v>137.4</v>
      </c>
      <c r="F228">
        <v>159.5</v>
      </c>
      <c r="G228">
        <v>134.5</v>
      </c>
      <c r="H228">
        <v>142.6</v>
      </c>
      <c r="I228">
        <v>124</v>
      </c>
      <c r="J228">
        <v>143.69999999999999</v>
      </c>
      <c r="K228">
        <v>133.4</v>
      </c>
      <c r="L228">
        <v>125.1</v>
      </c>
      <c r="M228">
        <v>109.3</v>
      </c>
      <c r="N228">
        <v>139.30000000000001</v>
      </c>
      <c r="O228">
        <v>137.69999999999999</v>
      </c>
      <c r="P228">
        <v>156.4</v>
      </c>
      <c r="Q228" s="3">
        <v>139.19999999999999</v>
      </c>
      <c r="R228" s="7">
        <v>163.30000000000001</v>
      </c>
      <c r="S228">
        <v>151.30000000000001</v>
      </c>
      <c r="T228">
        <v>146.6</v>
      </c>
      <c r="U228" s="5">
        <v>150.69999999999999</v>
      </c>
      <c r="V228" s="6" t="s">
        <v>32</v>
      </c>
      <c r="W228" s="4">
        <v>146.9</v>
      </c>
      <c r="X228">
        <v>149.5</v>
      </c>
      <c r="Y228">
        <v>151.30000000000001</v>
      </c>
      <c r="Z228">
        <v>130.19999999999999</v>
      </c>
      <c r="AA228">
        <v>145.9</v>
      </c>
      <c r="AB228">
        <v>156.69999999999999</v>
      </c>
      <c r="AC228">
        <v>133.9</v>
      </c>
      <c r="AD228" s="7">
        <v>142.9</v>
      </c>
      <c r="AE228">
        <v>142.4</v>
      </c>
    </row>
    <row r="229" spans="1:31" x14ac:dyDescent="0.3">
      <c r="A229" t="s">
        <v>33</v>
      </c>
      <c r="B229">
        <v>2019</v>
      </c>
      <c r="C229" t="s">
        <v>38</v>
      </c>
      <c r="D229" s="10" t="str">
        <f xml:space="preserve"> _xlfn.CONCAT(Table1[[#This Row],[Month]],",",Table1[[#This Row],[Year]])</f>
        <v>May,2019</v>
      </c>
      <c r="E229">
        <v>140.4</v>
      </c>
      <c r="F229">
        <v>156.69999999999999</v>
      </c>
      <c r="G229">
        <v>138.30000000000001</v>
      </c>
      <c r="H229">
        <v>142.4</v>
      </c>
      <c r="I229">
        <v>118.6</v>
      </c>
      <c r="J229">
        <v>149.69999999999999</v>
      </c>
      <c r="K229">
        <v>161.6</v>
      </c>
      <c r="L229">
        <v>124.4</v>
      </c>
      <c r="M229">
        <v>111.2</v>
      </c>
      <c r="N229">
        <v>141</v>
      </c>
      <c r="O229">
        <v>128.9</v>
      </c>
      <c r="P229">
        <v>154.5</v>
      </c>
      <c r="Q229" s="3">
        <v>143.80000000000001</v>
      </c>
      <c r="R229" s="7">
        <v>166.2</v>
      </c>
      <c r="S229">
        <v>144</v>
      </c>
      <c r="T229">
        <v>131.69999999999999</v>
      </c>
      <c r="U229" s="5">
        <v>142.19999999999999</v>
      </c>
      <c r="V229" s="6">
        <v>150.1</v>
      </c>
      <c r="W229" s="4">
        <v>129.4</v>
      </c>
      <c r="X229">
        <v>137.19999999999999</v>
      </c>
      <c r="Y229">
        <v>139.80000000000001</v>
      </c>
      <c r="Z229">
        <v>120.1</v>
      </c>
      <c r="AA229">
        <v>134</v>
      </c>
      <c r="AB229">
        <v>148</v>
      </c>
      <c r="AC229">
        <v>132.6</v>
      </c>
      <c r="AD229" s="7">
        <v>133.30000000000001</v>
      </c>
      <c r="AE229">
        <v>141.5</v>
      </c>
    </row>
    <row r="230" spans="1:31" x14ac:dyDescent="0.3">
      <c r="A230" t="s">
        <v>34</v>
      </c>
      <c r="B230">
        <v>2019</v>
      </c>
      <c r="C230" t="s">
        <v>38</v>
      </c>
      <c r="D230" s="10" t="str">
        <f xml:space="preserve"> _xlfn.CONCAT(Table1[[#This Row],[Month]],",",Table1[[#This Row],[Year]])</f>
        <v>May,2019</v>
      </c>
      <c r="E230">
        <v>138.30000000000001</v>
      </c>
      <c r="F230">
        <v>158.5</v>
      </c>
      <c r="G230">
        <v>136</v>
      </c>
      <c r="H230">
        <v>142.5</v>
      </c>
      <c r="I230">
        <v>122</v>
      </c>
      <c r="J230">
        <v>146.5</v>
      </c>
      <c r="K230">
        <v>143</v>
      </c>
      <c r="L230">
        <v>124.9</v>
      </c>
      <c r="M230">
        <v>109.9</v>
      </c>
      <c r="N230">
        <v>139.9</v>
      </c>
      <c r="O230">
        <v>134</v>
      </c>
      <c r="P230">
        <v>155.5</v>
      </c>
      <c r="Q230" s="3">
        <v>140.9</v>
      </c>
      <c r="R230" s="7">
        <v>164.1</v>
      </c>
      <c r="S230">
        <v>148.4</v>
      </c>
      <c r="T230">
        <v>140.4</v>
      </c>
      <c r="U230" s="5">
        <v>147.30000000000001</v>
      </c>
      <c r="V230" s="6">
        <v>150.1</v>
      </c>
      <c r="W230" s="4">
        <v>140.30000000000001</v>
      </c>
      <c r="X230">
        <v>143.69999999999999</v>
      </c>
      <c r="Y230">
        <v>146.9</v>
      </c>
      <c r="Z230">
        <v>124.9</v>
      </c>
      <c r="AA230">
        <v>139.19999999999999</v>
      </c>
      <c r="AB230">
        <v>151.6</v>
      </c>
      <c r="AC230">
        <v>133.4</v>
      </c>
      <c r="AD230" s="7">
        <v>138.19999999999999</v>
      </c>
      <c r="AE230">
        <v>142</v>
      </c>
    </row>
    <row r="231" spans="1:31" x14ac:dyDescent="0.3">
      <c r="A231" t="s">
        <v>30</v>
      </c>
      <c r="B231">
        <v>2019</v>
      </c>
      <c r="C231" t="s">
        <v>39</v>
      </c>
      <c r="D231" s="10" t="str">
        <f xml:space="preserve"> _xlfn.CONCAT(Table1[[#This Row],[Month]],",",Table1[[#This Row],[Year]])</f>
        <v>June,2019</v>
      </c>
      <c r="E231">
        <v>137.80000000000001</v>
      </c>
      <c r="F231">
        <v>163.5</v>
      </c>
      <c r="G231">
        <v>136.19999999999999</v>
      </c>
      <c r="H231">
        <v>143.19999999999999</v>
      </c>
      <c r="I231">
        <v>124.3</v>
      </c>
      <c r="J231">
        <v>143.30000000000001</v>
      </c>
      <c r="K231">
        <v>140.6</v>
      </c>
      <c r="L231">
        <v>128.69999999999999</v>
      </c>
      <c r="M231">
        <v>110.6</v>
      </c>
      <c r="N231">
        <v>140.4</v>
      </c>
      <c r="O231">
        <v>138</v>
      </c>
      <c r="P231">
        <v>156.6</v>
      </c>
      <c r="Q231" s="3">
        <v>141</v>
      </c>
      <c r="R231" s="7">
        <v>164.2</v>
      </c>
      <c r="S231">
        <v>151.4</v>
      </c>
      <c r="T231">
        <v>146.5</v>
      </c>
      <c r="U231" s="5">
        <v>150.69999999999999</v>
      </c>
      <c r="V231" s="6" t="s">
        <v>32</v>
      </c>
      <c r="W231" s="4">
        <v>147.80000000000001</v>
      </c>
      <c r="X231">
        <v>149.6</v>
      </c>
      <c r="Y231">
        <v>151.69999999999999</v>
      </c>
      <c r="Z231">
        <v>130.19999999999999</v>
      </c>
      <c r="AA231">
        <v>146.4</v>
      </c>
      <c r="AB231">
        <v>157.69999999999999</v>
      </c>
      <c r="AC231">
        <v>134.80000000000001</v>
      </c>
      <c r="AD231" s="7">
        <v>143.30000000000001</v>
      </c>
      <c r="AE231">
        <v>143.6</v>
      </c>
    </row>
    <row r="232" spans="1:31" x14ac:dyDescent="0.3">
      <c r="A232" t="s">
        <v>33</v>
      </c>
      <c r="B232">
        <v>2019</v>
      </c>
      <c r="C232" t="s">
        <v>39</v>
      </c>
      <c r="D232" s="10" t="str">
        <f xml:space="preserve"> _xlfn.CONCAT(Table1[[#This Row],[Month]],",",Table1[[#This Row],[Year]])</f>
        <v>June,2019</v>
      </c>
      <c r="E232">
        <v>140.69999999999999</v>
      </c>
      <c r="F232">
        <v>159.6</v>
      </c>
      <c r="G232">
        <v>140.4</v>
      </c>
      <c r="H232">
        <v>143.4</v>
      </c>
      <c r="I232">
        <v>118.6</v>
      </c>
      <c r="J232">
        <v>150.9</v>
      </c>
      <c r="K232">
        <v>169.8</v>
      </c>
      <c r="L232">
        <v>127.4</v>
      </c>
      <c r="M232">
        <v>111.8</v>
      </c>
      <c r="N232">
        <v>141</v>
      </c>
      <c r="O232">
        <v>129</v>
      </c>
      <c r="P232">
        <v>155.1</v>
      </c>
      <c r="Q232" s="3">
        <v>145.6</v>
      </c>
      <c r="R232" s="7">
        <v>166.7</v>
      </c>
      <c r="S232">
        <v>144.30000000000001</v>
      </c>
      <c r="T232">
        <v>131.69999999999999</v>
      </c>
      <c r="U232" s="5">
        <v>142.4</v>
      </c>
      <c r="V232" s="6">
        <v>149.4</v>
      </c>
      <c r="W232" s="4">
        <v>130.5</v>
      </c>
      <c r="X232">
        <v>137.4</v>
      </c>
      <c r="Y232">
        <v>140.30000000000001</v>
      </c>
      <c r="Z232">
        <v>119.6</v>
      </c>
      <c r="AA232">
        <v>134.30000000000001</v>
      </c>
      <c r="AB232">
        <v>148.9</v>
      </c>
      <c r="AC232">
        <v>133.69999999999999</v>
      </c>
      <c r="AD232" s="7">
        <v>133.6</v>
      </c>
      <c r="AE232">
        <v>142.1</v>
      </c>
    </row>
    <row r="233" spans="1:31" x14ac:dyDescent="0.3">
      <c r="A233" t="s">
        <v>34</v>
      </c>
      <c r="B233">
        <v>2019</v>
      </c>
      <c r="C233" t="s">
        <v>39</v>
      </c>
      <c r="D233" s="10" t="str">
        <f xml:space="preserve"> _xlfn.CONCAT(Table1[[#This Row],[Month]],",",Table1[[#This Row],[Year]])</f>
        <v>June,2019</v>
      </c>
      <c r="E233">
        <v>138.69999999999999</v>
      </c>
      <c r="F233">
        <v>162.1</v>
      </c>
      <c r="G233">
        <v>137.80000000000001</v>
      </c>
      <c r="H233">
        <v>143.30000000000001</v>
      </c>
      <c r="I233">
        <v>122.2</v>
      </c>
      <c r="J233">
        <v>146.80000000000001</v>
      </c>
      <c r="K233">
        <v>150.5</v>
      </c>
      <c r="L233">
        <v>128.30000000000001</v>
      </c>
      <c r="M233">
        <v>111</v>
      </c>
      <c r="N233">
        <v>140.6</v>
      </c>
      <c r="O233">
        <v>134.19999999999999</v>
      </c>
      <c r="P233">
        <v>155.9</v>
      </c>
      <c r="Q233" s="3">
        <v>142.69999999999999</v>
      </c>
      <c r="R233" s="7">
        <v>164.9</v>
      </c>
      <c r="S233">
        <v>148.6</v>
      </c>
      <c r="T233">
        <v>140.4</v>
      </c>
      <c r="U233" s="5">
        <v>147.4</v>
      </c>
      <c r="V233" s="6">
        <v>149.4</v>
      </c>
      <c r="W233" s="4">
        <v>141.19999999999999</v>
      </c>
      <c r="X233">
        <v>143.80000000000001</v>
      </c>
      <c r="Y233">
        <v>147.4</v>
      </c>
      <c r="Z233">
        <v>124.6</v>
      </c>
      <c r="AA233">
        <v>139.6</v>
      </c>
      <c r="AB233">
        <v>152.5</v>
      </c>
      <c r="AC233">
        <v>134.30000000000001</v>
      </c>
      <c r="AD233" s="7">
        <v>138.6</v>
      </c>
      <c r="AE233">
        <v>142.9</v>
      </c>
    </row>
    <row r="234" spans="1:31" x14ac:dyDescent="0.3">
      <c r="A234" t="s">
        <v>30</v>
      </c>
      <c r="B234">
        <v>2019</v>
      </c>
      <c r="C234" t="s">
        <v>40</v>
      </c>
      <c r="D234" s="10" t="str">
        <f xml:space="preserve"> _xlfn.CONCAT(Table1[[#This Row],[Month]],",",Table1[[#This Row],[Year]])</f>
        <v>July,2019</v>
      </c>
      <c r="E234">
        <v>138.4</v>
      </c>
      <c r="F234">
        <v>164</v>
      </c>
      <c r="G234">
        <v>138.4</v>
      </c>
      <c r="H234">
        <v>143.9</v>
      </c>
      <c r="I234">
        <v>124.4</v>
      </c>
      <c r="J234">
        <v>146.4</v>
      </c>
      <c r="K234">
        <v>150.1</v>
      </c>
      <c r="L234">
        <v>130.6</v>
      </c>
      <c r="M234">
        <v>110.8</v>
      </c>
      <c r="N234">
        <v>141.69999999999999</v>
      </c>
      <c r="O234">
        <v>138.5</v>
      </c>
      <c r="P234">
        <v>156.69999999999999</v>
      </c>
      <c r="Q234" s="3">
        <v>143</v>
      </c>
      <c r="R234" s="7">
        <v>164.5</v>
      </c>
      <c r="S234">
        <v>151.6</v>
      </c>
      <c r="T234">
        <v>146.6</v>
      </c>
      <c r="U234" s="5">
        <v>150.9</v>
      </c>
      <c r="V234" s="6" t="s">
        <v>32</v>
      </c>
      <c r="W234" s="4">
        <v>146.80000000000001</v>
      </c>
      <c r="X234">
        <v>150</v>
      </c>
      <c r="Y234">
        <v>152.19999999999999</v>
      </c>
      <c r="Z234">
        <v>131.19999999999999</v>
      </c>
      <c r="AA234">
        <v>147.5</v>
      </c>
      <c r="AB234">
        <v>159.1</v>
      </c>
      <c r="AC234">
        <v>136.1</v>
      </c>
      <c r="AD234" s="7">
        <v>144.19999999999999</v>
      </c>
      <c r="AE234">
        <v>144.9</v>
      </c>
    </row>
    <row r="235" spans="1:31" x14ac:dyDescent="0.3">
      <c r="A235" t="s">
        <v>33</v>
      </c>
      <c r="B235">
        <v>2019</v>
      </c>
      <c r="C235" t="s">
        <v>40</v>
      </c>
      <c r="D235" s="10" t="str">
        <f xml:space="preserve"> _xlfn.CONCAT(Table1[[#This Row],[Month]],",",Table1[[#This Row],[Year]])</f>
        <v>July,2019</v>
      </c>
      <c r="E235">
        <v>141.4</v>
      </c>
      <c r="F235">
        <v>160.19999999999999</v>
      </c>
      <c r="G235">
        <v>142.5</v>
      </c>
      <c r="H235">
        <v>144.1</v>
      </c>
      <c r="I235">
        <v>119.3</v>
      </c>
      <c r="J235">
        <v>154.69999999999999</v>
      </c>
      <c r="K235">
        <v>180.1</v>
      </c>
      <c r="L235">
        <v>128.9</v>
      </c>
      <c r="M235">
        <v>111.8</v>
      </c>
      <c r="N235">
        <v>141.6</v>
      </c>
      <c r="O235">
        <v>129.5</v>
      </c>
      <c r="P235">
        <v>155.6</v>
      </c>
      <c r="Q235" s="3">
        <v>147.69999999999999</v>
      </c>
      <c r="R235" s="7">
        <v>167.2</v>
      </c>
      <c r="S235">
        <v>144.69999999999999</v>
      </c>
      <c r="T235">
        <v>131.9</v>
      </c>
      <c r="U235" s="5">
        <v>142.69999999999999</v>
      </c>
      <c r="V235" s="6">
        <v>150.6</v>
      </c>
      <c r="W235" s="4">
        <v>127</v>
      </c>
      <c r="X235">
        <v>137.69999999999999</v>
      </c>
      <c r="Y235">
        <v>140.80000000000001</v>
      </c>
      <c r="Z235">
        <v>120.6</v>
      </c>
      <c r="AA235">
        <v>135</v>
      </c>
      <c r="AB235">
        <v>150.4</v>
      </c>
      <c r="AC235">
        <v>135.1</v>
      </c>
      <c r="AD235" s="7">
        <v>134.5</v>
      </c>
      <c r="AE235">
        <v>143.30000000000001</v>
      </c>
    </row>
    <row r="236" spans="1:31" x14ac:dyDescent="0.3">
      <c r="A236" t="s">
        <v>34</v>
      </c>
      <c r="B236">
        <v>2019</v>
      </c>
      <c r="C236" t="s">
        <v>40</v>
      </c>
      <c r="D236" s="10" t="str">
        <f xml:space="preserve"> _xlfn.CONCAT(Table1[[#This Row],[Month]],",",Table1[[#This Row],[Year]])</f>
        <v>July,2019</v>
      </c>
      <c r="E236">
        <v>139.30000000000001</v>
      </c>
      <c r="F236">
        <v>162.69999999999999</v>
      </c>
      <c r="G236">
        <v>140</v>
      </c>
      <c r="H236">
        <v>144</v>
      </c>
      <c r="I236">
        <v>122.5</v>
      </c>
      <c r="J236">
        <v>150.30000000000001</v>
      </c>
      <c r="K236">
        <v>160.30000000000001</v>
      </c>
      <c r="L236">
        <v>130</v>
      </c>
      <c r="M236">
        <v>111.1</v>
      </c>
      <c r="N236">
        <v>141.69999999999999</v>
      </c>
      <c r="O236">
        <v>134.69999999999999</v>
      </c>
      <c r="P236">
        <v>156.19999999999999</v>
      </c>
      <c r="Q236" s="3">
        <v>144.69999999999999</v>
      </c>
      <c r="R236" s="7">
        <v>165.2</v>
      </c>
      <c r="S236">
        <v>148.9</v>
      </c>
      <c r="T236">
        <v>140.5</v>
      </c>
      <c r="U236" s="5">
        <v>147.6</v>
      </c>
      <c r="V236" s="6">
        <v>150.6</v>
      </c>
      <c r="W236" s="4">
        <v>139.30000000000001</v>
      </c>
      <c r="X236">
        <v>144.19999999999999</v>
      </c>
      <c r="Y236">
        <v>147.9</v>
      </c>
      <c r="Z236">
        <v>125.6</v>
      </c>
      <c r="AA236">
        <v>140.5</v>
      </c>
      <c r="AB236">
        <v>154</v>
      </c>
      <c r="AC236">
        <v>135.69999999999999</v>
      </c>
      <c r="AD236" s="7">
        <v>139.5</v>
      </c>
      <c r="AE236">
        <v>144.19999999999999</v>
      </c>
    </row>
    <row r="237" spans="1:31" x14ac:dyDescent="0.3">
      <c r="A237" t="s">
        <v>30</v>
      </c>
      <c r="B237">
        <v>2019</v>
      </c>
      <c r="C237" t="s">
        <v>41</v>
      </c>
      <c r="D237" s="10" t="str">
        <f xml:space="preserve"> _xlfn.CONCAT(Table1[[#This Row],[Month]],",",Table1[[#This Row],[Year]])</f>
        <v>August,2019</v>
      </c>
      <c r="E237">
        <v>139.19999999999999</v>
      </c>
      <c r="F237">
        <v>161.9</v>
      </c>
      <c r="G237">
        <v>137.1</v>
      </c>
      <c r="H237">
        <v>144.6</v>
      </c>
      <c r="I237">
        <v>124.7</v>
      </c>
      <c r="J237">
        <v>145.5</v>
      </c>
      <c r="K237">
        <v>156.19999999999999</v>
      </c>
      <c r="L237">
        <v>131.5</v>
      </c>
      <c r="M237">
        <v>111.7</v>
      </c>
      <c r="N237">
        <v>142.69999999999999</v>
      </c>
      <c r="O237">
        <v>138.5</v>
      </c>
      <c r="P237">
        <v>156.9</v>
      </c>
      <c r="Q237" s="3">
        <v>144</v>
      </c>
      <c r="R237" s="7">
        <v>165.1</v>
      </c>
      <c r="S237">
        <v>151.80000000000001</v>
      </c>
      <c r="T237">
        <v>146.6</v>
      </c>
      <c r="U237" s="5">
        <v>151.1</v>
      </c>
      <c r="V237" s="6" t="s">
        <v>32</v>
      </c>
      <c r="W237" s="4">
        <v>146.4</v>
      </c>
      <c r="X237">
        <v>150.19999999999999</v>
      </c>
      <c r="Y237">
        <v>152.69999999999999</v>
      </c>
      <c r="Z237">
        <v>131.4</v>
      </c>
      <c r="AA237">
        <v>148</v>
      </c>
      <c r="AB237">
        <v>159.69999999999999</v>
      </c>
      <c r="AC237">
        <v>138.80000000000001</v>
      </c>
      <c r="AD237" s="7">
        <v>144.9</v>
      </c>
      <c r="AE237">
        <v>145.69999999999999</v>
      </c>
    </row>
    <row r="238" spans="1:31" x14ac:dyDescent="0.3">
      <c r="A238" t="s">
        <v>33</v>
      </c>
      <c r="B238">
        <v>2019</v>
      </c>
      <c r="C238" t="s">
        <v>41</v>
      </c>
      <c r="D238" s="10" t="str">
        <f xml:space="preserve"> _xlfn.CONCAT(Table1[[#This Row],[Month]],",",Table1[[#This Row],[Year]])</f>
        <v>August,2019</v>
      </c>
      <c r="E238">
        <v>142.1</v>
      </c>
      <c r="F238">
        <v>158.30000000000001</v>
      </c>
      <c r="G238">
        <v>140.80000000000001</v>
      </c>
      <c r="H238">
        <v>144.9</v>
      </c>
      <c r="I238">
        <v>119.9</v>
      </c>
      <c r="J238">
        <v>153.9</v>
      </c>
      <c r="K238">
        <v>189.1</v>
      </c>
      <c r="L238">
        <v>129.80000000000001</v>
      </c>
      <c r="M238">
        <v>112.7</v>
      </c>
      <c r="N238">
        <v>142.5</v>
      </c>
      <c r="O238">
        <v>129.80000000000001</v>
      </c>
      <c r="P238">
        <v>156.19999999999999</v>
      </c>
      <c r="Q238" s="3">
        <v>149.1</v>
      </c>
      <c r="R238" s="7">
        <v>167.9</v>
      </c>
      <c r="S238">
        <v>145</v>
      </c>
      <c r="T238">
        <v>132.19999999999999</v>
      </c>
      <c r="U238" s="5">
        <v>143</v>
      </c>
      <c r="V238" s="6">
        <v>151.6</v>
      </c>
      <c r="W238" s="4">
        <v>125.5</v>
      </c>
      <c r="X238">
        <v>138.1</v>
      </c>
      <c r="Y238">
        <v>141.5</v>
      </c>
      <c r="Z238">
        <v>120.8</v>
      </c>
      <c r="AA238">
        <v>135.4</v>
      </c>
      <c r="AB238">
        <v>151.5</v>
      </c>
      <c r="AC238">
        <v>137.80000000000001</v>
      </c>
      <c r="AD238" s="7">
        <v>135.30000000000001</v>
      </c>
      <c r="AE238">
        <v>144.19999999999999</v>
      </c>
    </row>
    <row r="239" spans="1:31" x14ac:dyDescent="0.3">
      <c r="A239" t="s">
        <v>34</v>
      </c>
      <c r="B239">
        <v>2019</v>
      </c>
      <c r="C239" t="s">
        <v>41</v>
      </c>
      <c r="D239" s="10" t="str">
        <f xml:space="preserve"> _xlfn.CONCAT(Table1[[#This Row],[Month]],",",Table1[[#This Row],[Year]])</f>
        <v>August,2019</v>
      </c>
      <c r="E239">
        <v>140.1</v>
      </c>
      <c r="F239">
        <v>160.6</v>
      </c>
      <c r="G239">
        <v>138.5</v>
      </c>
      <c r="H239">
        <v>144.69999999999999</v>
      </c>
      <c r="I239">
        <v>122.9</v>
      </c>
      <c r="J239">
        <v>149.4</v>
      </c>
      <c r="K239">
        <v>167.4</v>
      </c>
      <c r="L239">
        <v>130.9</v>
      </c>
      <c r="M239">
        <v>112</v>
      </c>
      <c r="N239">
        <v>142.6</v>
      </c>
      <c r="O239">
        <v>134.9</v>
      </c>
      <c r="P239">
        <v>156.6</v>
      </c>
      <c r="Q239" s="3">
        <v>145.9</v>
      </c>
      <c r="R239" s="7">
        <v>165.8</v>
      </c>
      <c r="S239">
        <v>149.1</v>
      </c>
      <c r="T239">
        <v>140.6</v>
      </c>
      <c r="U239" s="5">
        <v>147.9</v>
      </c>
      <c r="V239" s="6">
        <v>151.6</v>
      </c>
      <c r="W239" s="4">
        <v>138.5</v>
      </c>
      <c r="X239">
        <v>144.5</v>
      </c>
      <c r="Y239">
        <v>148.5</v>
      </c>
      <c r="Z239">
        <v>125.8</v>
      </c>
      <c r="AA239">
        <v>140.9</v>
      </c>
      <c r="AB239">
        <v>154.9</v>
      </c>
      <c r="AC239">
        <v>138.4</v>
      </c>
      <c r="AD239" s="7">
        <v>140.19999999999999</v>
      </c>
      <c r="AE239">
        <v>145</v>
      </c>
    </row>
    <row r="240" spans="1:31" x14ac:dyDescent="0.3">
      <c r="A240" t="s">
        <v>30</v>
      </c>
      <c r="B240">
        <v>2019</v>
      </c>
      <c r="C240" t="s">
        <v>42</v>
      </c>
      <c r="D240" s="10" t="str">
        <f xml:space="preserve"> _xlfn.CONCAT(Table1[[#This Row],[Month]],",",Table1[[#This Row],[Year]])</f>
        <v>September,2019</v>
      </c>
      <c r="E240">
        <v>140.1</v>
      </c>
      <c r="F240">
        <v>161.9</v>
      </c>
      <c r="G240">
        <v>138.30000000000001</v>
      </c>
      <c r="H240">
        <v>145.69999999999999</v>
      </c>
      <c r="I240">
        <v>125.1</v>
      </c>
      <c r="J240">
        <v>143.80000000000001</v>
      </c>
      <c r="K240">
        <v>163.4</v>
      </c>
      <c r="L240">
        <v>132.19999999999999</v>
      </c>
      <c r="M240">
        <v>112.8</v>
      </c>
      <c r="N240">
        <v>144.19999999999999</v>
      </c>
      <c r="O240">
        <v>138.5</v>
      </c>
      <c r="P240">
        <v>157.19999999999999</v>
      </c>
      <c r="Q240" s="3">
        <v>145.5</v>
      </c>
      <c r="R240" s="7">
        <v>165.7</v>
      </c>
      <c r="S240">
        <v>151.69999999999999</v>
      </c>
      <c r="T240">
        <v>146.6</v>
      </c>
      <c r="U240" s="5">
        <v>151</v>
      </c>
      <c r="V240" s="6" t="s">
        <v>32</v>
      </c>
      <c r="W240" s="4">
        <v>146.9</v>
      </c>
      <c r="X240">
        <v>150.30000000000001</v>
      </c>
      <c r="Y240">
        <v>153.4</v>
      </c>
      <c r="Z240">
        <v>131.6</v>
      </c>
      <c r="AA240">
        <v>148.30000000000001</v>
      </c>
      <c r="AB240">
        <v>160.19999999999999</v>
      </c>
      <c r="AC240">
        <v>140.19999999999999</v>
      </c>
      <c r="AD240" s="7">
        <v>145.4</v>
      </c>
      <c r="AE240">
        <v>146.69999999999999</v>
      </c>
    </row>
    <row r="241" spans="1:31" x14ac:dyDescent="0.3">
      <c r="A241" t="s">
        <v>33</v>
      </c>
      <c r="B241">
        <v>2019</v>
      </c>
      <c r="C241" t="s">
        <v>42</v>
      </c>
      <c r="D241" s="10" t="str">
        <f xml:space="preserve"> _xlfn.CONCAT(Table1[[#This Row],[Month]],",",Table1[[#This Row],[Year]])</f>
        <v>September,2019</v>
      </c>
      <c r="E241">
        <v>142.69999999999999</v>
      </c>
      <c r="F241">
        <v>158.69999999999999</v>
      </c>
      <c r="G241">
        <v>141.6</v>
      </c>
      <c r="H241">
        <v>144.9</v>
      </c>
      <c r="I241">
        <v>120.8</v>
      </c>
      <c r="J241">
        <v>149.80000000000001</v>
      </c>
      <c r="K241">
        <v>192.4</v>
      </c>
      <c r="L241">
        <v>130.30000000000001</v>
      </c>
      <c r="M241">
        <v>114</v>
      </c>
      <c r="N241">
        <v>143.80000000000001</v>
      </c>
      <c r="O241">
        <v>130</v>
      </c>
      <c r="P241">
        <v>156.4</v>
      </c>
      <c r="Q241" s="3">
        <v>149.5</v>
      </c>
      <c r="R241" s="7">
        <v>168.6</v>
      </c>
      <c r="S241">
        <v>145.30000000000001</v>
      </c>
      <c r="T241">
        <v>132.19999999999999</v>
      </c>
      <c r="U241" s="5">
        <v>143.30000000000001</v>
      </c>
      <c r="V241" s="6">
        <v>152.19999999999999</v>
      </c>
      <c r="W241" s="4">
        <v>126.6</v>
      </c>
      <c r="X241">
        <v>138.30000000000001</v>
      </c>
      <c r="Y241">
        <v>141.9</v>
      </c>
      <c r="Z241">
        <v>121.2</v>
      </c>
      <c r="AA241">
        <v>135.9</v>
      </c>
      <c r="AB241">
        <v>151.6</v>
      </c>
      <c r="AC241">
        <v>139</v>
      </c>
      <c r="AD241" s="7">
        <v>135.69999999999999</v>
      </c>
      <c r="AE241">
        <v>144.69999999999999</v>
      </c>
    </row>
    <row r="242" spans="1:31" x14ac:dyDescent="0.3">
      <c r="A242" t="s">
        <v>34</v>
      </c>
      <c r="B242">
        <v>2019</v>
      </c>
      <c r="C242" t="s">
        <v>42</v>
      </c>
      <c r="D242" s="10" t="str">
        <f xml:space="preserve"> _xlfn.CONCAT(Table1[[#This Row],[Month]],",",Table1[[#This Row],[Year]])</f>
        <v>September,2019</v>
      </c>
      <c r="E242">
        <v>140.9</v>
      </c>
      <c r="F242">
        <v>160.80000000000001</v>
      </c>
      <c r="G242">
        <v>139.6</v>
      </c>
      <c r="H242">
        <v>145.4</v>
      </c>
      <c r="I242">
        <v>123.5</v>
      </c>
      <c r="J242">
        <v>146.6</v>
      </c>
      <c r="K242">
        <v>173.2</v>
      </c>
      <c r="L242">
        <v>131.6</v>
      </c>
      <c r="M242">
        <v>113.2</v>
      </c>
      <c r="N242">
        <v>144.1</v>
      </c>
      <c r="O242">
        <v>135</v>
      </c>
      <c r="P242">
        <v>156.80000000000001</v>
      </c>
      <c r="Q242" s="3">
        <v>147</v>
      </c>
      <c r="R242" s="7">
        <v>166.5</v>
      </c>
      <c r="S242">
        <v>149.19999999999999</v>
      </c>
      <c r="T242">
        <v>140.6</v>
      </c>
      <c r="U242" s="5">
        <v>147.9</v>
      </c>
      <c r="V242" s="6">
        <v>152.19999999999999</v>
      </c>
      <c r="W242" s="4">
        <v>139.19999999999999</v>
      </c>
      <c r="X242">
        <v>144.6</v>
      </c>
      <c r="Y242">
        <v>149</v>
      </c>
      <c r="Z242">
        <v>126.1</v>
      </c>
      <c r="AA242">
        <v>141.30000000000001</v>
      </c>
      <c r="AB242">
        <v>155.19999999999999</v>
      </c>
      <c r="AC242">
        <v>139.69999999999999</v>
      </c>
      <c r="AD242" s="7">
        <v>140.69999999999999</v>
      </c>
      <c r="AE242">
        <v>145.80000000000001</v>
      </c>
    </row>
    <row r="243" spans="1:31" x14ac:dyDescent="0.3">
      <c r="A243" t="s">
        <v>30</v>
      </c>
      <c r="B243">
        <v>2019</v>
      </c>
      <c r="C243" t="s">
        <v>43</v>
      </c>
      <c r="D243" s="10" t="str">
        <f xml:space="preserve"> _xlfn.CONCAT(Table1[[#This Row],[Month]],",",Table1[[#This Row],[Year]])</f>
        <v>October,2019</v>
      </c>
      <c r="E243">
        <v>141</v>
      </c>
      <c r="F243">
        <v>161.6</v>
      </c>
      <c r="G243">
        <v>141.19999999999999</v>
      </c>
      <c r="H243">
        <v>146.5</v>
      </c>
      <c r="I243">
        <v>125.6</v>
      </c>
      <c r="J243">
        <v>145.69999999999999</v>
      </c>
      <c r="K243">
        <v>178.8</v>
      </c>
      <c r="L243">
        <v>133.1</v>
      </c>
      <c r="M243">
        <v>113.6</v>
      </c>
      <c r="N243">
        <v>145.5</v>
      </c>
      <c r="O243">
        <v>138.6</v>
      </c>
      <c r="P243">
        <v>157.4</v>
      </c>
      <c r="Q243" s="3">
        <v>148.30000000000001</v>
      </c>
      <c r="R243" s="7">
        <v>166.3</v>
      </c>
      <c r="S243">
        <v>151.69999999999999</v>
      </c>
      <c r="T243">
        <v>146.69999999999999</v>
      </c>
      <c r="U243" s="5">
        <v>151</v>
      </c>
      <c r="V243" s="6" t="s">
        <v>32</v>
      </c>
      <c r="W243" s="4">
        <v>147.69999999999999</v>
      </c>
      <c r="X243">
        <v>150.6</v>
      </c>
      <c r="Y243">
        <v>153.69999999999999</v>
      </c>
      <c r="Z243">
        <v>131.69999999999999</v>
      </c>
      <c r="AA243">
        <v>148.69999999999999</v>
      </c>
      <c r="AB243">
        <v>160.69999999999999</v>
      </c>
      <c r="AC243">
        <v>140.30000000000001</v>
      </c>
      <c r="AD243" s="7">
        <v>145.69999999999999</v>
      </c>
      <c r="AE243">
        <v>148.30000000000001</v>
      </c>
    </row>
    <row r="244" spans="1:31" x14ac:dyDescent="0.3">
      <c r="A244" t="s">
        <v>33</v>
      </c>
      <c r="B244">
        <v>2019</v>
      </c>
      <c r="C244" t="s">
        <v>43</v>
      </c>
      <c r="D244" s="10" t="str">
        <f xml:space="preserve"> _xlfn.CONCAT(Table1[[#This Row],[Month]],",",Table1[[#This Row],[Year]])</f>
        <v>October,2019</v>
      </c>
      <c r="E244">
        <v>143.5</v>
      </c>
      <c r="F244">
        <v>159.80000000000001</v>
      </c>
      <c r="G244">
        <v>144.69999999999999</v>
      </c>
      <c r="H244">
        <v>145.6</v>
      </c>
      <c r="I244">
        <v>121.1</v>
      </c>
      <c r="J244">
        <v>150.6</v>
      </c>
      <c r="K244">
        <v>207.2</v>
      </c>
      <c r="L244">
        <v>131.19999999999999</v>
      </c>
      <c r="M244">
        <v>114.8</v>
      </c>
      <c r="N244">
        <v>145.19999999999999</v>
      </c>
      <c r="O244">
        <v>130.19999999999999</v>
      </c>
      <c r="P244">
        <v>156.80000000000001</v>
      </c>
      <c r="Q244" s="3">
        <v>151.9</v>
      </c>
      <c r="R244" s="7">
        <v>169.3</v>
      </c>
      <c r="S244">
        <v>145.9</v>
      </c>
      <c r="T244">
        <v>132.4</v>
      </c>
      <c r="U244" s="5">
        <v>143.9</v>
      </c>
      <c r="V244" s="6">
        <v>153</v>
      </c>
      <c r="W244" s="4">
        <v>128.9</v>
      </c>
      <c r="X244">
        <v>138.69999999999999</v>
      </c>
      <c r="Y244">
        <v>142.4</v>
      </c>
      <c r="Z244">
        <v>121.5</v>
      </c>
      <c r="AA244">
        <v>136.19999999999999</v>
      </c>
      <c r="AB244">
        <v>151.69999999999999</v>
      </c>
      <c r="AC244">
        <v>139.5</v>
      </c>
      <c r="AD244" s="7">
        <v>136</v>
      </c>
      <c r="AE244">
        <v>146</v>
      </c>
    </row>
    <row r="245" spans="1:31" x14ac:dyDescent="0.3">
      <c r="A245" t="s">
        <v>34</v>
      </c>
      <c r="B245">
        <v>2019</v>
      </c>
      <c r="C245" t="s">
        <v>43</v>
      </c>
      <c r="D245" s="10" t="str">
        <f xml:space="preserve"> _xlfn.CONCAT(Table1[[#This Row],[Month]],",",Table1[[#This Row],[Year]])</f>
        <v>October,2019</v>
      </c>
      <c r="E245">
        <v>141.80000000000001</v>
      </c>
      <c r="F245">
        <v>161</v>
      </c>
      <c r="G245">
        <v>142.6</v>
      </c>
      <c r="H245">
        <v>146.19999999999999</v>
      </c>
      <c r="I245">
        <v>123.9</v>
      </c>
      <c r="J245">
        <v>148</v>
      </c>
      <c r="K245">
        <v>188.4</v>
      </c>
      <c r="L245">
        <v>132.5</v>
      </c>
      <c r="M245">
        <v>114</v>
      </c>
      <c r="N245">
        <v>145.4</v>
      </c>
      <c r="O245">
        <v>135.1</v>
      </c>
      <c r="P245">
        <v>157.1</v>
      </c>
      <c r="Q245" s="3">
        <v>149.6</v>
      </c>
      <c r="R245" s="7">
        <v>167.1</v>
      </c>
      <c r="S245">
        <v>149.4</v>
      </c>
      <c r="T245">
        <v>140.80000000000001</v>
      </c>
      <c r="U245" s="5">
        <v>148.19999999999999</v>
      </c>
      <c r="V245" s="6">
        <v>153</v>
      </c>
      <c r="W245" s="4">
        <v>140.6</v>
      </c>
      <c r="X245">
        <v>145</v>
      </c>
      <c r="Y245">
        <v>149.4</v>
      </c>
      <c r="Z245">
        <v>126.3</v>
      </c>
      <c r="AA245">
        <v>141.69999999999999</v>
      </c>
      <c r="AB245">
        <v>155.4</v>
      </c>
      <c r="AC245">
        <v>140</v>
      </c>
      <c r="AD245" s="7">
        <v>141</v>
      </c>
      <c r="AE245">
        <v>147.19999999999999</v>
      </c>
    </row>
    <row r="246" spans="1:31" x14ac:dyDescent="0.3">
      <c r="A246" t="s">
        <v>30</v>
      </c>
      <c r="B246">
        <v>2019</v>
      </c>
      <c r="C246" t="s">
        <v>45</v>
      </c>
      <c r="D246" s="10" t="str">
        <f xml:space="preserve"> _xlfn.CONCAT(Table1[[#This Row],[Month]],",",Table1[[#This Row],[Year]])</f>
        <v>November,2019</v>
      </c>
      <c r="E246">
        <v>141.80000000000001</v>
      </c>
      <c r="F246">
        <v>163.69999999999999</v>
      </c>
      <c r="G246">
        <v>143.80000000000001</v>
      </c>
      <c r="H246">
        <v>147.1</v>
      </c>
      <c r="I246">
        <v>126</v>
      </c>
      <c r="J246">
        <v>146.19999999999999</v>
      </c>
      <c r="K246">
        <v>191.4</v>
      </c>
      <c r="L246">
        <v>136.19999999999999</v>
      </c>
      <c r="M246">
        <v>113.8</v>
      </c>
      <c r="N246">
        <v>147.30000000000001</v>
      </c>
      <c r="O246">
        <v>138.69999999999999</v>
      </c>
      <c r="P246">
        <v>157.69999999999999</v>
      </c>
      <c r="Q246" s="3">
        <v>150.9</v>
      </c>
      <c r="R246" s="7">
        <v>167.2</v>
      </c>
      <c r="S246">
        <v>152.30000000000001</v>
      </c>
      <c r="T246">
        <v>147</v>
      </c>
      <c r="U246" s="5">
        <v>151.5</v>
      </c>
      <c r="V246" s="6" t="s">
        <v>32</v>
      </c>
      <c r="W246" s="4">
        <v>148.4</v>
      </c>
      <c r="X246">
        <v>150.9</v>
      </c>
      <c r="Y246">
        <v>154.30000000000001</v>
      </c>
      <c r="Z246">
        <v>132.1</v>
      </c>
      <c r="AA246">
        <v>149.1</v>
      </c>
      <c r="AB246">
        <v>160.80000000000001</v>
      </c>
      <c r="AC246">
        <v>140.6</v>
      </c>
      <c r="AD246" s="7">
        <v>146.1</v>
      </c>
      <c r="AE246">
        <v>149.9</v>
      </c>
    </row>
    <row r="247" spans="1:31" x14ac:dyDescent="0.3">
      <c r="A247" t="s">
        <v>33</v>
      </c>
      <c r="B247">
        <v>2019</v>
      </c>
      <c r="C247" t="s">
        <v>45</v>
      </c>
      <c r="D247" s="10" t="str">
        <f xml:space="preserve"> _xlfn.CONCAT(Table1[[#This Row],[Month]],",",Table1[[#This Row],[Year]])</f>
        <v>November,2019</v>
      </c>
      <c r="E247">
        <v>144.1</v>
      </c>
      <c r="F247">
        <v>162.4</v>
      </c>
      <c r="G247">
        <v>148.4</v>
      </c>
      <c r="H247">
        <v>145.9</v>
      </c>
      <c r="I247">
        <v>121.5</v>
      </c>
      <c r="J247">
        <v>148.80000000000001</v>
      </c>
      <c r="K247">
        <v>215.7</v>
      </c>
      <c r="L247">
        <v>134.6</v>
      </c>
      <c r="M247">
        <v>115</v>
      </c>
      <c r="N247">
        <v>146.30000000000001</v>
      </c>
      <c r="O247">
        <v>130.5</v>
      </c>
      <c r="P247">
        <v>157.19999999999999</v>
      </c>
      <c r="Q247" s="3">
        <v>153.6</v>
      </c>
      <c r="R247" s="7">
        <v>169.9</v>
      </c>
      <c r="S247">
        <v>146.30000000000001</v>
      </c>
      <c r="T247">
        <v>132.6</v>
      </c>
      <c r="U247" s="5">
        <v>144.19999999999999</v>
      </c>
      <c r="V247" s="6">
        <v>153.5</v>
      </c>
      <c r="W247" s="4">
        <v>132.19999999999999</v>
      </c>
      <c r="X247">
        <v>139.1</v>
      </c>
      <c r="Y247">
        <v>142.80000000000001</v>
      </c>
      <c r="Z247">
        <v>121.7</v>
      </c>
      <c r="AA247">
        <v>136.69999999999999</v>
      </c>
      <c r="AB247">
        <v>151.80000000000001</v>
      </c>
      <c r="AC247">
        <v>139.80000000000001</v>
      </c>
      <c r="AD247" s="7">
        <v>136.30000000000001</v>
      </c>
      <c r="AE247">
        <v>147</v>
      </c>
    </row>
    <row r="248" spans="1:31" x14ac:dyDescent="0.3">
      <c r="A248" t="s">
        <v>34</v>
      </c>
      <c r="B248">
        <v>2019</v>
      </c>
      <c r="C248" t="s">
        <v>45</v>
      </c>
      <c r="D248" s="10" t="str">
        <f xml:space="preserve"> _xlfn.CONCAT(Table1[[#This Row],[Month]],",",Table1[[#This Row],[Year]])</f>
        <v>November,2019</v>
      </c>
      <c r="E248">
        <v>142.5</v>
      </c>
      <c r="F248">
        <v>163.19999999999999</v>
      </c>
      <c r="G248">
        <v>145.6</v>
      </c>
      <c r="H248">
        <v>146.69999999999999</v>
      </c>
      <c r="I248">
        <v>124.3</v>
      </c>
      <c r="J248">
        <v>147.4</v>
      </c>
      <c r="K248">
        <v>199.6</v>
      </c>
      <c r="L248">
        <v>135.69999999999999</v>
      </c>
      <c r="M248">
        <v>114.2</v>
      </c>
      <c r="N248">
        <v>147</v>
      </c>
      <c r="O248">
        <v>135.30000000000001</v>
      </c>
      <c r="P248">
        <v>157.5</v>
      </c>
      <c r="Q248" s="3">
        <v>151.9</v>
      </c>
      <c r="R248" s="7">
        <v>167.9</v>
      </c>
      <c r="S248">
        <v>149.9</v>
      </c>
      <c r="T248">
        <v>141</v>
      </c>
      <c r="U248" s="5">
        <v>148.6</v>
      </c>
      <c r="V248" s="6">
        <v>153.5</v>
      </c>
      <c r="W248" s="4">
        <v>142.30000000000001</v>
      </c>
      <c r="X248">
        <v>145.30000000000001</v>
      </c>
      <c r="Y248">
        <v>149.9</v>
      </c>
      <c r="Z248">
        <v>126.6</v>
      </c>
      <c r="AA248">
        <v>142.1</v>
      </c>
      <c r="AB248">
        <v>155.5</v>
      </c>
      <c r="AC248">
        <v>140.30000000000001</v>
      </c>
      <c r="AD248" s="7">
        <v>141.30000000000001</v>
      </c>
      <c r="AE248">
        <v>148.6</v>
      </c>
    </row>
    <row r="249" spans="1:31" x14ac:dyDescent="0.3">
      <c r="A249" t="s">
        <v>30</v>
      </c>
      <c r="B249">
        <v>2019</v>
      </c>
      <c r="C249" t="s">
        <v>46</v>
      </c>
      <c r="D249" s="10" t="str">
        <f xml:space="preserve"> _xlfn.CONCAT(Table1[[#This Row],[Month]],",",Table1[[#This Row],[Year]])</f>
        <v>December,2019</v>
      </c>
      <c r="E249">
        <v>142.80000000000001</v>
      </c>
      <c r="F249">
        <v>165.3</v>
      </c>
      <c r="G249">
        <v>149.5</v>
      </c>
      <c r="H249">
        <v>148.69999999999999</v>
      </c>
      <c r="I249">
        <v>127.5</v>
      </c>
      <c r="J249">
        <v>144.30000000000001</v>
      </c>
      <c r="K249">
        <v>209.5</v>
      </c>
      <c r="L249">
        <v>138.80000000000001</v>
      </c>
      <c r="M249">
        <v>113.6</v>
      </c>
      <c r="N249">
        <v>149.1</v>
      </c>
      <c r="O249">
        <v>139.30000000000001</v>
      </c>
      <c r="P249">
        <v>158.30000000000001</v>
      </c>
      <c r="Q249" s="3">
        <v>154.30000000000001</v>
      </c>
      <c r="R249" s="7">
        <v>167.8</v>
      </c>
      <c r="S249">
        <v>152.6</v>
      </c>
      <c r="T249">
        <v>147.30000000000001</v>
      </c>
      <c r="U249" s="5">
        <v>151.9</v>
      </c>
      <c r="V249" s="6" t="s">
        <v>32</v>
      </c>
      <c r="W249" s="4">
        <v>149.9</v>
      </c>
      <c r="X249">
        <v>151.19999999999999</v>
      </c>
      <c r="Y249">
        <v>154.80000000000001</v>
      </c>
      <c r="Z249">
        <v>135</v>
      </c>
      <c r="AA249">
        <v>149.5</v>
      </c>
      <c r="AB249">
        <v>161.1</v>
      </c>
      <c r="AC249">
        <v>140.6</v>
      </c>
      <c r="AD249" s="7">
        <v>147.1</v>
      </c>
      <c r="AE249">
        <v>152.30000000000001</v>
      </c>
    </row>
    <row r="250" spans="1:31" x14ac:dyDescent="0.3">
      <c r="A250" t="s">
        <v>33</v>
      </c>
      <c r="B250">
        <v>2019</v>
      </c>
      <c r="C250" t="s">
        <v>46</v>
      </c>
      <c r="D250" s="10" t="str">
        <f xml:space="preserve"> _xlfn.CONCAT(Table1[[#This Row],[Month]],",",Table1[[#This Row],[Year]])</f>
        <v>December,2019</v>
      </c>
      <c r="E250">
        <v>144.9</v>
      </c>
      <c r="F250">
        <v>164.5</v>
      </c>
      <c r="G250">
        <v>153.69999999999999</v>
      </c>
      <c r="H250">
        <v>147.5</v>
      </c>
      <c r="I250">
        <v>122.7</v>
      </c>
      <c r="J250">
        <v>147.19999999999999</v>
      </c>
      <c r="K250">
        <v>231.5</v>
      </c>
      <c r="L250">
        <v>137.19999999999999</v>
      </c>
      <c r="M250">
        <v>114.7</v>
      </c>
      <c r="N250">
        <v>148</v>
      </c>
      <c r="O250">
        <v>130.80000000000001</v>
      </c>
      <c r="P250">
        <v>157.69999999999999</v>
      </c>
      <c r="Q250" s="3">
        <v>156.30000000000001</v>
      </c>
      <c r="R250" s="7">
        <v>170.4</v>
      </c>
      <c r="S250">
        <v>146.80000000000001</v>
      </c>
      <c r="T250">
        <v>132.80000000000001</v>
      </c>
      <c r="U250" s="5">
        <v>144.6</v>
      </c>
      <c r="V250" s="6">
        <v>152.80000000000001</v>
      </c>
      <c r="W250" s="4">
        <v>133.6</v>
      </c>
      <c r="X250">
        <v>139.80000000000001</v>
      </c>
      <c r="Y250">
        <v>143.19999999999999</v>
      </c>
      <c r="Z250">
        <v>125.2</v>
      </c>
      <c r="AA250">
        <v>136.80000000000001</v>
      </c>
      <c r="AB250">
        <v>151.9</v>
      </c>
      <c r="AC250">
        <v>140.19999999999999</v>
      </c>
      <c r="AD250" s="7">
        <v>137.69999999999999</v>
      </c>
      <c r="AE250">
        <v>148.30000000000001</v>
      </c>
    </row>
    <row r="251" spans="1:31" x14ac:dyDescent="0.3">
      <c r="A251" t="s">
        <v>34</v>
      </c>
      <c r="B251">
        <v>2019</v>
      </c>
      <c r="C251" t="s">
        <v>46</v>
      </c>
      <c r="D251" s="10" t="str">
        <f xml:space="preserve"> _xlfn.CONCAT(Table1[[#This Row],[Month]],",",Table1[[#This Row],[Year]])</f>
        <v>December,2019</v>
      </c>
      <c r="E251">
        <v>143.5</v>
      </c>
      <c r="F251">
        <v>165</v>
      </c>
      <c r="G251">
        <v>151.1</v>
      </c>
      <c r="H251">
        <v>148.30000000000001</v>
      </c>
      <c r="I251">
        <v>125.7</v>
      </c>
      <c r="J251">
        <v>145.69999999999999</v>
      </c>
      <c r="K251">
        <v>217</v>
      </c>
      <c r="L251">
        <v>138.30000000000001</v>
      </c>
      <c r="M251">
        <v>114</v>
      </c>
      <c r="N251">
        <v>148.69999999999999</v>
      </c>
      <c r="O251">
        <v>135.80000000000001</v>
      </c>
      <c r="P251">
        <v>158</v>
      </c>
      <c r="Q251" s="3">
        <v>155</v>
      </c>
      <c r="R251" s="7">
        <v>168.5</v>
      </c>
      <c r="S251">
        <v>150.30000000000001</v>
      </c>
      <c r="T251">
        <v>141.30000000000001</v>
      </c>
      <c r="U251" s="5">
        <v>149</v>
      </c>
      <c r="V251" s="6">
        <v>152.80000000000001</v>
      </c>
      <c r="W251" s="4">
        <v>143.69999999999999</v>
      </c>
      <c r="X251">
        <v>145.80000000000001</v>
      </c>
      <c r="Y251">
        <v>150.4</v>
      </c>
      <c r="Z251">
        <v>129.80000000000001</v>
      </c>
      <c r="AA251">
        <v>142.30000000000001</v>
      </c>
      <c r="AB251">
        <v>155.69999999999999</v>
      </c>
      <c r="AC251">
        <v>140.4</v>
      </c>
      <c r="AD251" s="7">
        <v>142.5</v>
      </c>
      <c r="AE251">
        <v>150.4</v>
      </c>
    </row>
    <row r="252" spans="1:31" x14ac:dyDescent="0.3">
      <c r="A252" t="s">
        <v>30</v>
      </c>
      <c r="B252">
        <v>2020</v>
      </c>
      <c r="C252" t="s">
        <v>31</v>
      </c>
      <c r="D252" s="10" t="str">
        <f xml:space="preserve"> _xlfn.CONCAT(Table1[[#This Row],[Month]],",",Table1[[#This Row],[Year]])</f>
        <v>January,2020</v>
      </c>
      <c r="E252">
        <v>143.69999999999999</v>
      </c>
      <c r="F252">
        <v>167.3</v>
      </c>
      <c r="G252">
        <v>153.5</v>
      </c>
      <c r="H252">
        <v>150.5</v>
      </c>
      <c r="I252">
        <v>132</v>
      </c>
      <c r="J252">
        <v>142.19999999999999</v>
      </c>
      <c r="K252">
        <v>191.5</v>
      </c>
      <c r="L252">
        <v>141.1</v>
      </c>
      <c r="M252">
        <v>113.8</v>
      </c>
      <c r="N252">
        <v>151.6</v>
      </c>
      <c r="O252">
        <v>139.69999999999999</v>
      </c>
      <c r="P252">
        <v>158.69999999999999</v>
      </c>
      <c r="Q252" s="3">
        <v>153</v>
      </c>
      <c r="R252" s="7">
        <v>168.6</v>
      </c>
      <c r="S252">
        <v>152.80000000000001</v>
      </c>
      <c r="T252">
        <v>147.4</v>
      </c>
      <c r="U252" s="5">
        <v>152.1</v>
      </c>
      <c r="V252" s="6" t="s">
        <v>32</v>
      </c>
      <c r="W252" s="4">
        <v>150.4</v>
      </c>
      <c r="X252">
        <v>151.69999999999999</v>
      </c>
      <c r="Y252">
        <v>155.69999999999999</v>
      </c>
      <c r="Z252">
        <v>136.30000000000001</v>
      </c>
      <c r="AA252">
        <v>150.1</v>
      </c>
      <c r="AB252">
        <v>161.69999999999999</v>
      </c>
      <c r="AC252">
        <v>142.5</v>
      </c>
      <c r="AD252" s="7">
        <v>148.1</v>
      </c>
      <c r="AE252">
        <v>151.9</v>
      </c>
    </row>
    <row r="253" spans="1:31" x14ac:dyDescent="0.3">
      <c r="A253" t="s">
        <v>33</v>
      </c>
      <c r="B253">
        <v>2020</v>
      </c>
      <c r="C253" t="s">
        <v>31</v>
      </c>
      <c r="D253" s="10" t="str">
        <f xml:space="preserve"> _xlfn.CONCAT(Table1[[#This Row],[Month]],",",Table1[[#This Row],[Year]])</f>
        <v>January,2020</v>
      </c>
      <c r="E253">
        <v>145.6</v>
      </c>
      <c r="F253">
        <v>167.6</v>
      </c>
      <c r="G253">
        <v>157</v>
      </c>
      <c r="H253">
        <v>149.30000000000001</v>
      </c>
      <c r="I253">
        <v>126.3</v>
      </c>
      <c r="J253">
        <v>144.4</v>
      </c>
      <c r="K253">
        <v>207.8</v>
      </c>
      <c r="L253">
        <v>139.1</v>
      </c>
      <c r="M253">
        <v>114.8</v>
      </c>
      <c r="N253">
        <v>149.5</v>
      </c>
      <c r="O253">
        <v>131.1</v>
      </c>
      <c r="P253">
        <v>158.5</v>
      </c>
      <c r="Q253" s="3">
        <v>154.4</v>
      </c>
      <c r="R253" s="7">
        <v>170.8</v>
      </c>
      <c r="S253">
        <v>147</v>
      </c>
      <c r="T253">
        <v>133.19999999999999</v>
      </c>
      <c r="U253" s="5">
        <v>144.9</v>
      </c>
      <c r="V253" s="6">
        <v>153.9</v>
      </c>
      <c r="W253" s="4">
        <v>135.1</v>
      </c>
      <c r="X253">
        <v>140.1</v>
      </c>
      <c r="Y253">
        <v>143.80000000000001</v>
      </c>
      <c r="Z253">
        <v>126.1</v>
      </c>
      <c r="AA253">
        <v>137.19999999999999</v>
      </c>
      <c r="AB253">
        <v>152.1</v>
      </c>
      <c r="AC253">
        <v>142.1</v>
      </c>
      <c r="AD253" s="7">
        <v>138.4</v>
      </c>
      <c r="AE253">
        <v>148.19999999999999</v>
      </c>
    </row>
    <row r="254" spans="1:31" x14ac:dyDescent="0.3">
      <c r="A254" t="s">
        <v>34</v>
      </c>
      <c r="B254">
        <v>2020</v>
      </c>
      <c r="C254" t="s">
        <v>31</v>
      </c>
      <c r="D254" s="10" t="str">
        <f xml:space="preserve"> _xlfn.CONCAT(Table1[[#This Row],[Month]],",",Table1[[#This Row],[Year]])</f>
        <v>January,2020</v>
      </c>
      <c r="E254">
        <v>144.30000000000001</v>
      </c>
      <c r="F254">
        <v>167.4</v>
      </c>
      <c r="G254">
        <v>154.9</v>
      </c>
      <c r="H254">
        <v>150.1</v>
      </c>
      <c r="I254">
        <v>129.9</v>
      </c>
      <c r="J254">
        <v>143.19999999999999</v>
      </c>
      <c r="K254">
        <v>197</v>
      </c>
      <c r="L254">
        <v>140.4</v>
      </c>
      <c r="M254">
        <v>114.1</v>
      </c>
      <c r="N254">
        <v>150.9</v>
      </c>
      <c r="O254">
        <v>136.1</v>
      </c>
      <c r="P254">
        <v>158.6</v>
      </c>
      <c r="Q254" s="3">
        <v>153.5</v>
      </c>
      <c r="R254" s="7">
        <v>169.2</v>
      </c>
      <c r="S254">
        <v>150.5</v>
      </c>
      <c r="T254">
        <v>141.5</v>
      </c>
      <c r="U254" s="5">
        <v>149.19999999999999</v>
      </c>
      <c r="V254" s="6">
        <v>153.9</v>
      </c>
      <c r="W254" s="4">
        <v>144.6</v>
      </c>
      <c r="X254">
        <v>146.19999999999999</v>
      </c>
      <c r="Y254">
        <v>151.19999999999999</v>
      </c>
      <c r="Z254">
        <v>130.9</v>
      </c>
      <c r="AA254">
        <v>142.80000000000001</v>
      </c>
      <c r="AB254">
        <v>156.1</v>
      </c>
      <c r="AC254">
        <v>142.30000000000001</v>
      </c>
      <c r="AD254" s="7">
        <v>143.4</v>
      </c>
      <c r="AE254">
        <v>150.19999999999999</v>
      </c>
    </row>
    <row r="255" spans="1:31" x14ac:dyDescent="0.3">
      <c r="A255" t="s">
        <v>30</v>
      </c>
      <c r="B255">
        <v>2020</v>
      </c>
      <c r="C255" t="s">
        <v>35</v>
      </c>
      <c r="D255" s="10" t="str">
        <f xml:space="preserve"> _xlfn.CONCAT(Table1[[#This Row],[Month]],",",Table1[[#This Row],[Year]])</f>
        <v>February,2020</v>
      </c>
      <c r="E255">
        <v>144.19999999999999</v>
      </c>
      <c r="F255">
        <v>167.5</v>
      </c>
      <c r="G255">
        <v>150.9</v>
      </c>
      <c r="H255">
        <v>150.9</v>
      </c>
      <c r="I255">
        <v>133.69999999999999</v>
      </c>
      <c r="J255">
        <v>140.69999999999999</v>
      </c>
      <c r="K255">
        <v>165.1</v>
      </c>
      <c r="L255">
        <v>141.80000000000001</v>
      </c>
      <c r="M255">
        <v>113.1</v>
      </c>
      <c r="N255">
        <v>152.80000000000001</v>
      </c>
      <c r="O255">
        <v>140.1</v>
      </c>
      <c r="P255">
        <v>159.19999999999999</v>
      </c>
      <c r="Q255" s="3">
        <v>149.80000000000001</v>
      </c>
      <c r="R255" s="7">
        <v>169.4</v>
      </c>
      <c r="S255">
        <v>153</v>
      </c>
      <c r="T255">
        <v>147.5</v>
      </c>
      <c r="U255" s="5">
        <v>152.30000000000001</v>
      </c>
      <c r="V255" s="6" t="s">
        <v>32</v>
      </c>
      <c r="W255" s="4">
        <v>152.30000000000001</v>
      </c>
      <c r="X255">
        <v>151.80000000000001</v>
      </c>
      <c r="Y255">
        <v>156.19999999999999</v>
      </c>
      <c r="Z255">
        <v>136</v>
      </c>
      <c r="AA255">
        <v>150.4</v>
      </c>
      <c r="AB255">
        <v>161.9</v>
      </c>
      <c r="AC255">
        <v>143.4</v>
      </c>
      <c r="AD255" s="7">
        <v>148.4</v>
      </c>
      <c r="AE255">
        <v>150.4</v>
      </c>
    </row>
    <row r="256" spans="1:31" x14ac:dyDescent="0.3">
      <c r="A256" t="s">
        <v>33</v>
      </c>
      <c r="B256">
        <v>2020</v>
      </c>
      <c r="C256" t="s">
        <v>35</v>
      </c>
      <c r="D256" s="10" t="str">
        <f xml:space="preserve"> _xlfn.CONCAT(Table1[[#This Row],[Month]],",",Table1[[#This Row],[Year]])</f>
        <v>February,2020</v>
      </c>
      <c r="E256">
        <v>146.19999999999999</v>
      </c>
      <c r="F256">
        <v>167.6</v>
      </c>
      <c r="G256">
        <v>153.1</v>
      </c>
      <c r="H256">
        <v>150.69999999999999</v>
      </c>
      <c r="I256">
        <v>127.4</v>
      </c>
      <c r="J256">
        <v>143.1</v>
      </c>
      <c r="K256">
        <v>181.7</v>
      </c>
      <c r="L256">
        <v>139.6</v>
      </c>
      <c r="M256">
        <v>114.6</v>
      </c>
      <c r="N256">
        <v>150.4</v>
      </c>
      <c r="O256">
        <v>131.5</v>
      </c>
      <c r="P256">
        <v>159</v>
      </c>
      <c r="Q256" s="3">
        <v>151.69999999999999</v>
      </c>
      <c r="R256" s="7">
        <v>172</v>
      </c>
      <c r="S256">
        <v>147.30000000000001</v>
      </c>
      <c r="T256">
        <v>133.5</v>
      </c>
      <c r="U256" s="5">
        <v>145.19999999999999</v>
      </c>
      <c r="V256" s="6">
        <v>154.80000000000001</v>
      </c>
      <c r="W256" s="4">
        <v>138.9</v>
      </c>
      <c r="X256">
        <v>140.4</v>
      </c>
      <c r="Y256">
        <v>144.4</v>
      </c>
      <c r="Z256">
        <v>125.2</v>
      </c>
      <c r="AA256">
        <v>137.69999999999999</v>
      </c>
      <c r="AB256">
        <v>152.19999999999999</v>
      </c>
      <c r="AC256">
        <v>143.5</v>
      </c>
      <c r="AD256" s="7">
        <v>138.4</v>
      </c>
      <c r="AE256">
        <v>147.69999999999999</v>
      </c>
    </row>
    <row r="257" spans="1:31" x14ac:dyDescent="0.3">
      <c r="A257" t="s">
        <v>34</v>
      </c>
      <c r="B257">
        <v>2020</v>
      </c>
      <c r="C257" t="s">
        <v>35</v>
      </c>
      <c r="D257" s="10" t="str">
        <f xml:space="preserve"> _xlfn.CONCAT(Table1[[#This Row],[Month]],",",Table1[[#This Row],[Year]])</f>
        <v>February,2020</v>
      </c>
      <c r="E257">
        <v>144.80000000000001</v>
      </c>
      <c r="F257">
        <v>167.5</v>
      </c>
      <c r="G257">
        <v>151.80000000000001</v>
      </c>
      <c r="H257">
        <v>150.80000000000001</v>
      </c>
      <c r="I257">
        <v>131.4</v>
      </c>
      <c r="J257">
        <v>141.80000000000001</v>
      </c>
      <c r="K257">
        <v>170.7</v>
      </c>
      <c r="L257">
        <v>141.1</v>
      </c>
      <c r="M257">
        <v>113.6</v>
      </c>
      <c r="N257">
        <v>152</v>
      </c>
      <c r="O257">
        <v>136.5</v>
      </c>
      <c r="P257">
        <v>159.1</v>
      </c>
      <c r="Q257" s="3">
        <v>150.5</v>
      </c>
      <c r="R257" s="7">
        <v>170.1</v>
      </c>
      <c r="S257">
        <v>150.80000000000001</v>
      </c>
      <c r="T257">
        <v>141.69999999999999</v>
      </c>
      <c r="U257" s="5">
        <v>149.5</v>
      </c>
      <c r="V257" s="6">
        <v>154.80000000000001</v>
      </c>
      <c r="W257" s="4">
        <v>147.19999999999999</v>
      </c>
      <c r="X257">
        <v>146.4</v>
      </c>
      <c r="Y257">
        <v>151.69999999999999</v>
      </c>
      <c r="Z257">
        <v>130.30000000000001</v>
      </c>
      <c r="AA257">
        <v>143.19999999999999</v>
      </c>
      <c r="AB257">
        <v>156.19999999999999</v>
      </c>
      <c r="AC257">
        <v>143.4</v>
      </c>
      <c r="AD257" s="7">
        <v>143.6</v>
      </c>
      <c r="AE257">
        <v>149.1</v>
      </c>
    </row>
    <row r="258" spans="1:31" x14ac:dyDescent="0.3">
      <c r="A258" t="s">
        <v>30</v>
      </c>
      <c r="B258">
        <v>2020</v>
      </c>
      <c r="C258" t="s">
        <v>36</v>
      </c>
      <c r="D258" s="10" t="str">
        <f xml:space="preserve"> _xlfn.CONCAT(Table1[[#This Row],[Month]],",",Table1[[#This Row],[Year]])</f>
        <v>March,2020</v>
      </c>
      <c r="E258">
        <v>144.4</v>
      </c>
      <c r="F258">
        <v>166.8</v>
      </c>
      <c r="G258">
        <v>147.6</v>
      </c>
      <c r="H258">
        <v>151.69999999999999</v>
      </c>
      <c r="I258">
        <v>133.30000000000001</v>
      </c>
      <c r="J258">
        <v>141.80000000000001</v>
      </c>
      <c r="K258">
        <v>152.30000000000001</v>
      </c>
      <c r="L258">
        <v>141.80000000000001</v>
      </c>
      <c r="M258">
        <v>112.6</v>
      </c>
      <c r="N258">
        <v>154</v>
      </c>
      <c r="O258">
        <v>140.1</v>
      </c>
      <c r="P258">
        <v>160</v>
      </c>
      <c r="Q258" s="3">
        <v>148.19999999999999</v>
      </c>
      <c r="R258" s="7">
        <v>170.5</v>
      </c>
      <c r="S258">
        <v>153.4</v>
      </c>
      <c r="T258">
        <v>147.6</v>
      </c>
      <c r="U258" s="5">
        <v>152.5</v>
      </c>
      <c r="V258" s="6" t="s">
        <v>32</v>
      </c>
      <c r="W258" s="4">
        <v>153.4</v>
      </c>
      <c r="X258">
        <v>151.5</v>
      </c>
      <c r="Y258">
        <v>156.69999999999999</v>
      </c>
      <c r="Z258">
        <v>135.80000000000001</v>
      </c>
      <c r="AA258">
        <v>151.19999999999999</v>
      </c>
      <c r="AB258">
        <v>161.19999999999999</v>
      </c>
      <c r="AC258">
        <v>145.1</v>
      </c>
      <c r="AD258" s="7">
        <v>148.6</v>
      </c>
      <c r="AE258">
        <v>149.80000000000001</v>
      </c>
    </row>
    <row r="259" spans="1:31" x14ac:dyDescent="0.3">
      <c r="A259" t="s">
        <v>33</v>
      </c>
      <c r="B259">
        <v>2020</v>
      </c>
      <c r="C259" t="s">
        <v>36</v>
      </c>
      <c r="D259" s="10" t="str">
        <f xml:space="preserve"> _xlfn.CONCAT(Table1[[#This Row],[Month]],",",Table1[[#This Row],[Year]])</f>
        <v>March,2020</v>
      </c>
      <c r="E259">
        <v>146.5</v>
      </c>
      <c r="F259">
        <v>167.5</v>
      </c>
      <c r="G259">
        <v>148.9</v>
      </c>
      <c r="H259">
        <v>151.1</v>
      </c>
      <c r="I259">
        <v>127.5</v>
      </c>
      <c r="J259">
        <v>143.30000000000001</v>
      </c>
      <c r="K259">
        <v>167</v>
      </c>
      <c r="L259">
        <v>139.69999999999999</v>
      </c>
      <c r="M259">
        <v>114.4</v>
      </c>
      <c r="N259">
        <v>151.5</v>
      </c>
      <c r="O259">
        <v>131.9</v>
      </c>
      <c r="P259">
        <v>159.1</v>
      </c>
      <c r="Q259" s="3">
        <v>150.1</v>
      </c>
      <c r="R259" s="7">
        <v>173.3</v>
      </c>
      <c r="S259">
        <v>147.69999999999999</v>
      </c>
      <c r="T259">
        <v>133.80000000000001</v>
      </c>
      <c r="U259" s="5">
        <v>145.6</v>
      </c>
      <c r="V259" s="6">
        <v>154.5</v>
      </c>
      <c r="W259" s="4">
        <v>141.4</v>
      </c>
      <c r="X259">
        <v>140.80000000000001</v>
      </c>
      <c r="Y259">
        <v>145</v>
      </c>
      <c r="Z259">
        <v>124.6</v>
      </c>
      <c r="AA259">
        <v>137.9</v>
      </c>
      <c r="AB259">
        <v>152.5</v>
      </c>
      <c r="AC259">
        <v>145.30000000000001</v>
      </c>
      <c r="AD259" s="7">
        <v>138.69999999999999</v>
      </c>
      <c r="AE259">
        <v>147.30000000000001</v>
      </c>
    </row>
    <row r="260" spans="1:31" x14ac:dyDescent="0.3">
      <c r="A260" t="s">
        <v>34</v>
      </c>
      <c r="B260">
        <v>2020</v>
      </c>
      <c r="C260" t="s">
        <v>36</v>
      </c>
      <c r="D260" s="10" t="str">
        <f xml:space="preserve"> _xlfn.CONCAT(Table1[[#This Row],[Month]],",",Table1[[#This Row],[Year]])</f>
        <v>March,2020</v>
      </c>
      <c r="E260">
        <v>145.1</v>
      </c>
      <c r="F260">
        <v>167</v>
      </c>
      <c r="G260">
        <v>148.1</v>
      </c>
      <c r="H260">
        <v>151.5</v>
      </c>
      <c r="I260">
        <v>131.19999999999999</v>
      </c>
      <c r="J260">
        <v>142.5</v>
      </c>
      <c r="K260">
        <v>157.30000000000001</v>
      </c>
      <c r="L260">
        <v>141.1</v>
      </c>
      <c r="M260">
        <v>113.2</v>
      </c>
      <c r="N260">
        <v>153.19999999999999</v>
      </c>
      <c r="O260">
        <v>136.69999999999999</v>
      </c>
      <c r="P260">
        <v>159.6</v>
      </c>
      <c r="Q260" s="3">
        <v>148.9</v>
      </c>
      <c r="R260" s="7">
        <v>171.2</v>
      </c>
      <c r="S260">
        <v>151.19999999999999</v>
      </c>
      <c r="T260">
        <v>141.9</v>
      </c>
      <c r="U260" s="5">
        <v>149.80000000000001</v>
      </c>
      <c r="V260" s="6">
        <v>154.5</v>
      </c>
      <c r="W260" s="4">
        <v>148.9</v>
      </c>
      <c r="X260">
        <v>146.4</v>
      </c>
      <c r="Y260">
        <v>152.30000000000001</v>
      </c>
      <c r="Z260">
        <v>129.9</v>
      </c>
      <c r="AA260">
        <v>143.69999999999999</v>
      </c>
      <c r="AB260">
        <v>156.1</v>
      </c>
      <c r="AC260">
        <v>145.19999999999999</v>
      </c>
      <c r="AD260" s="7">
        <v>143.80000000000001</v>
      </c>
      <c r="AE260">
        <v>148.6</v>
      </c>
    </row>
    <row r="261" spans="1:31" x14ac:dyDescent="0.3">
      <c r="A261" t="s">
        <v>30</v>
      </c>
      <c r="B261">
        <v>2020</v>
      </c>
      <c r="C261" t="s">
        <v>37</v>
      </c>
      <c r="D261" s="10" t="str">
        <f xml:space="preserve"> _xlfn.CONCAT(Table1[[#This Row],[Month]],",",Table1[[#This Row],[Year]])</f>
        <v>April,2020</v>
      </c>
      <c r="E261">
        <v>147.19999999999999</v>
      </c>
      <c r="F261">
        <v>178.5</v>
      </c>
      <c r="G261">
        <v>146.9</v>
      </c>
      <c r="H261">
        <v>155.6</v>
      </c>
      <c r="I261">
        <v>137.1</v>
      </c>
      <c r="J261">
        <v>147.30000000000001</v>
      </c>
      <c r="K261">
        <v>162.69999999999999</v>
      </c>
      <c r="L261">
        <v>150.19999999999999</v>
      </c>
      <c r="M261">
        <v>119.8</v>
      </c>
      <c r="N261">
        <v>158.69999999999999</v>
      </c>
      <c r="O261">
        <v>139.19999999999999</v>
      </c>
      <c r="P261">
        <v>160.9</v>
      </c>
      <c r="Q261" s="3">
        <v>150.1</v>
      </c>
      <c r="R261" s="7">
        <v>176.4</v>
      </c>
      <c r="S261">
        <v>154</v>
      </c>
      <c r="T261">
        <v>148.80000000000001</v>
      </c>
      <c r="U261" s="5">
        <v>153.4</v>
      </c>
      <c r="V261" s="6" t="s">
        <v>32</v>
      </c>
      <c r="W261" s="4">
        <v>148.4</v>
      </c>
      <c r="X261">
        <v>151.6</v>
      </c>
      <c r="Y261">
        <v>154.30000000000001</v>
      </c>
      <c r="Z261">
        <v>138.6</v>
      </c>
      <c r="AA261">
        <v>152.19999999999999</v>
      </c>
      <c r="AB261">
        <v>161.5</v>
      </c>
      <c r="AC261">
        <v>148.1</v>
      </c>
      <c r="AD261" s="7">
        <v>150.1</v>
      </c>
      <c r="AE261">
        <v>151.19999999999999</v>
      </c>
    </row>
    <row r="262" spans="1:31" x14ac:dyDescent="0.3">
      <c r="A262" t="s">
        <v>33</v>
      </c>
      <c r="B262">
        <v>2020</v>
      </c>
      <c r="C262" t="s">
        <v>37</v>
      </c>
      <c r="D262" s="10" t="str">
        <f xml:space="preserve"> _xlfn.CONCAT(Table1[[#This Row],[Month]],",",Table1[[#This Row],[Year]])</f>
        <v>April,2020</v>
      </c>
      <c r="E262">
        <v>151.80000000000001</v>
      </c>
      <c r="F262">
        <v>182.2</v>
      </c>
      <c r="G262">
        <v>151.9</v>
      </c>
      <c r="H262">
        <v>155.5</v>
      </c>
      <c r="I262">
        <v>131.6</v>
      </c>
      <c r="J262">
        <v>152.9</v>
      </c>
      <c r="K262">
        <v>180</v>
      </c>
      <c r="L262">
        <v>150.80000000000001</v>
      </c>
      <c r="M262">
        <v>121.2</v>
      </c>
      <c r="N262">
        <v>154</v>
      </c>
      <c r="O262">
        <v>133.5</v>
      </c>
      <c r="P262">
        <v>160.4</v>
      </c>
      <c r="Q262" s="3">
        <v>153.5</v>
      </c>
      <c r="R262" s="7">
        <v>180</v>
      </c>
      <c r="S262">
        <v>148.4</v>
      </c>
      <c r="T262">
        <v>135.19999999999999</v>
      </c>
      <c r="U262" s="5">
        <v>146.4</v>
      </c>
      <c r="V262" s="6">
        <v>155.6</v>
      </c>
      <c r="W262" s="4">
        <v>137.1</v>
      </c>
      <c r="X262">
        <v>140.6</v>
      </c>
      <c r="Y262">
        <v>144.80000000000001</v>
      </c>
      <c r="Z262">
        <v>126.9</v>
      </c>
      <c r="AA262">
        <v>141.19999999999999</v>
      </c>
      <c r="AB262">
        <v>152.5</v>
      </c>
      <c r="AC262">
        <v>148.69999999999999</v>
      </c>
      <c r="AD262" s="7">
        <v>140.30000000000001</v>
      </c>
      <c r="AE262">
        <v>149</v>
      </c>
    </row>
    <row r="263" spans="1:31" x14ac:dyDescent="0.3">
      <c r="A263" t="s">
        <v>34</v>
      </c>
      <c r="B263">
        <v>2020</v>
      </c>
      <c r="C263" t="s">
        <v>37</v>
      </c>
      <c r="D263" s="10" t="str">
        <f xml:space="preserve"> _xlfn.CONCAT(Table1[[#This Row],[Month]],",",Table1[[#This Row],[Year]])</f>
        <v>April,2020</v>
      </c>
      <c r="E263">
        <v>148.69999999999999</v>
      </c>
      <c r="F263">
        <v>179.8</v>
      </c>
      <c r="G263">
        <v>148.80000000000001</v>
      </c>
      <c r="H263">
        <v>155.6</v>
      </c>
      <c r="I263">
        <v>135.1</v>
      </c>
      <c r="J263">
        <v>149.9</v>
      </c>
      <c r="K263">
        <v>168.6</v>
      </c>
      <c r="L263">
        <v>150.4</v>
      </c>
      <c r="M263">
        <v>120.3</v>
      </c>
      <c r="N263">
        <v>157.1</v>
      </c>
      <c r="O263">
        <v>136.80000000000001</v>
      </c>
      <c r="P263">
        <v>160.69999999999999</v>
      </c>
      <c r="Q263" s="3">
        <v>151.4</v>
      </c>
      <c r="R263" s="7">
        <v>177.3</v>
      </c>
      <c r="S263">
        <v>151.80000000000001</v>
      </c>
      <c r="T263">
        <v>143.1</v>
      </c>
      <c r="U263" s="5">
        <v>150.6</v>
      </c>
      <c r="V263" s="6">
        <v>155.6</v>
      </c>
      <c r="W263" s="4">
        <v>144.1</v>
      </c>
      <c r="X263">
        <v>146.4</v>
      </c>
      <c r="Y263">
        <v>150.69999999999999</v>
      </c>
      <c r="Z263">
        <v>132.4</v>
      </c>
      <c r="AA263">
        <v>146</v>
      </c>
      <c r="AB263">
        <v>156.19999999999999</v>
      </c>
      <c r="AC263">
        <v>148.4</v>
      </c>
      <c r="AD263" s="7">
        <v>145.4</v>
      </c>
      <c r="AE263">
        <v>150.19999999999999</v>
      </c>
    </row>
    <row r="264" spans="1:31" x14ac:dyDescent="0.3">
      <c r="A264" t="s">
        <v>30</v>
      </c>
      <c r="B264">
        <v>2020</v>
      </c>
      <c r="C264" t="s">
        <v>38</v>
      </c>
      <c r="D264" s="10" t="str">
        <f xml:space="preserve"> _xlfn.CONCAT(Table1[[#This Row],[Month]],",",Table1[[#This Row],[Year]])</f>
        <v>May,2020</v>
      </c>
      <c r="E264">
        <v>147.69999999999999</v>
      </c>
      <c r="F264">
        <v>184.4</v>
      </c>
      <c r="G264">
        <v>148.1</v>
      </c>
      <c r="H264">
        <v>154.4</v>
      </c>
      <c r="I264">
        <v>137.6</v>
      </c>
      <c r="J264">
        <v>145.19999999999999</v>
      </c>
      <c r="K264">
        <v>155.80000000000001</v>
      </c>
      <c r="L264">
        <v>150.19999999999999</v>
      </c>
      <c r="M264">
        <v>116.5</v>
      </c>
      <c r="N264">
        <v>159.19999999999999</v>
      </c>
      <c r="O264">
        <v>140.6</v>
      </c>
      <c r="P264">
        <v>161.30000000000001</v>
      </c>
      <c r="Q264" s="3">
        <v>151.19999999999999</v>
      </c>
      <c r="R264" s="7">
        <v>179.4</v>
      </c>
      <c r="S264">
        <v>154.30000000000001</v>
      </c>
      <c r="T264">
        <v>149.4</v>
      </c>
      <c r="U264" s="5">
        <v>153.69999999999999</v>
      </c>
      <c r="V264" s="6" t="s">
        <v>32</v>
      </c>
      <c r="W264" s="4">
        <v>146.6</v>
      </c>
      <c r="X264">
        <v>151.6</v>
      </c>
      <c r="Y264">
        <v>156.19999999999999</v>
      </c>
      <c r="Z264">
        <v>140</v>
      </c>
      <c r="AA264">
        <v>152.69999999999999</v>
      </c>
      <c r="AB264">
        <v>161.6</v>
      </c>
      <c r="AC264">
        <v>149.6</v>
      </c>
      <c r="AD264" s="7">
        <v>150.9</v>
      </c>
      <c r="AE264">
        <v>151.9</v>
      </c>
    </row>
    <row r="265" spans="1:31" x14ac:dyDescent="0.3">
      <c r="A265" t="s">
        <v>33</v>
      </c>
      <c r="B265">
        <v>2020</v>
      </c>
      <c r="C265" t="s">
        <v>38</v>
      </c>
      <c r="D265" s="10" t="str">
        <f xml:space="preserve"> _xlfn.CONCAT(Table1[[#This Row],[Month]],",",Table1[[#This Row],[Year]])</f>
        <v>May,2020</v>
      </c>
      <c r="E265">
        <v>152.19999999999999</v>
      </c>
      <c r="F265">
        <v>189.6</v>
      </c>
      <c r="G265">
        <v>153.19999999999999</v>
      </c>
      <c r="H265">
        <v>154.4</v>
      </c>
      <c r="I265">
        <v>131.9</v>
      </c>
      <c r="J265">
        <v>152.30000000000001</v>
      </c>
      <c r="K265">
        <v>175.6</v>
      </c>
      <c r="L265">
        <v>151.4</v>
      </c>
      <c r="M265">
        <v>118.7</v>
      </c>
      <c r="N265">
        <v>156.4</v>
      </c>
      <c r="O265">
        <v>134.5</v>
      </c>
      <c r="P265">
        <v>161</v>
      </c>
      <c r="Q265" s="3">
        <v>155.19999999999999</v>
      </c>
      <c r="R265" s="7">
        <v>183.3</v>
      </c>
      <c r="S265">
        <v>148.69999999999999</v>
      </c>
      <c r="T265">
        <v>135.9</v>
      </c>
      <c r="U265" s="5">
        <v>146.80000000000001</v>
      </c>
      <c r="V265" s="6">
        <v>155.1</v>
      </c>
      <c r="W265" s="4">
        <v>137.1</v>
      </c>
      <c r="X265">
        <v>140.5</v>
      </c>
      <c r="Y265">
        <v>146.4</v>
      </c>
      <c r="Z265">
        <v>128.1</v>
      </c>
      <c r="AA265">
        <v>142.80000000000001</v>
      </c>
      <c r="AB265">
        <v>152.5</v>
      </c>
      <c r="AC265">
        <v>150.4</v>
      </c>
      <c r="AD265" s="7">
        <v>141.1</v>
      </c>
      <c r="AE265">
        <v>149.9</v>
      </c>
    </row>
    <row r="266" spans="1:31" x14ac:dyDescent="0.3">
      <c r="A266" t="s">
        <v>34</v>
      </c>
      <c r="B266">
        <v>2020</v>
      </c>
      <c r="C266" t="s">
        <v>38</v>
      </c>
      <c r="D266" s="10" t="str">
        <f xml:space="preserve"> _xlfn.CONCAT(Table1[[#This Row],[Month]],",",Table1[[#This Row],[Year]])</f>
        <v>May,2020</v>
      </c>
      <c r="E266">
        <v>149.1</v>
      </c>
      <c r="F266">
        <v>186.2</v>
      </c>
      <c r="G266">
        <v>150.1</v>
      </c>
      <c r="H266">
        <v>154.4</v>
      </c>
      <c r="I266">
        <v>135.69999999999999</v>
      </c>
      <c r="J266">
        <v>148.5</v>
      </c>
      <c r="K266">
        <v>162.5</v>
      </c>
      <c r="L266">
        <v>150.6</v>
      </c>
      <c r="M266">
        <v>117.2</v>
      </c>
      <c r="N266">
        <v>158.30000000000001</v>
      </c>
      <c r="O266">
        <v>138.1</v>
      </c>
      <c r="P266">
        <v>161.19999999999999</v>
      </c>
      <c r="Q266" s="3">
        <v>152.69999999999999</v>
      </c>
      <c r="R266" s="7">
        <v>180.4</v>
      </c>
      <c r="S266">
        <v>152.5</v>
      </c>
      <c r="T266">
        <v>143.69999999999999</v>
      </c>
      <c r="U266" s="5">
        <v>151</v>
      </c>
      <c r="V266" s="6">
        <v>155.1</v>
      </c>
      <c r="W266" s="4">
        <v>143</v>
      </c>
      <c r="X266">
        <v>146.4</v>
      </c>
      <c r="Y266">
        <v>152.6</v>
      </c>
      <c r="Z266">
        <v>133.69999999999999</v>
      </c>
      <c r="AA266">
        <v>147.1</v>
      </c>
      <c r="AB266">
        <v>156.30000000000001</v>
      </c>
      <c r="AC266">
        <v>150</v>
      </c>
      <c r="AD266" s="7">
        <v>146.19999999999999</v>
      </c>
      <c r="AE266">
        <v>151</v>
      </c>
    </row>
    <row r="267" spans="1:31" x14ac:dyDescent="0.3">
      <c r="A267" t="s">
        <v>30</v>
      </c>
      <c r="B267">
        <v>2020</v>
      </c>
      <c r="C267" t="s">
        <v>39</v>
      </c>
      <c r="D267" s="10" t="str">
        <f xml:space="preserve"> _xlfn.CONCAT(Table1[[#This Row],[Month]],",",Table1[[#This Row],[Year]])</f>
        <v>June,2020</v>
      </c>
      <c r="E267">
        <v>148.19999999999999</v>
      </c>
      <c r="F267">
        <v>190.3</v>
      </c>
      <c r="G267">
        <v>149.4</v>
      </c>
      <c r="H267">
        <v>153.30000000000001</v>
      </c>
      <c r="I267">
        <v>138.19999999999999</v>
      </c>
      <c r="J267">
        <v>143.19999999999999</v>
      </c>
      <c r="K267">
        <v>148.9</v>
      </c>
      <c r="L267">
        <v>150.30000000000001</v>
      </c>
      <c r="M267">
        <v>113.2</v>
      </c>
      <c r="N267">
        <v>159.80000000000001</v>
      </c>
      <c r="O267">
        <v>142.1</v>
      </c>
      <c r="P267">
        <v>161.80000000000001</v>
      </c>
      <c r="Q267" s="3">
        <v>152.30000000000001</v>
      </c>
      <c r="R267" s="7">
        <v>182.4</v>
      </c>
      <c r="S267">
        <v>154.69999999999999</v>
      </c>
      <c r="T267">
        <v>150</v>
      </c>
      <c r="U267" s="5">
        <v>154.1</v>
      </c>
      <c r="V267" s="6" t="s">
        <v>32</v>
      </c>
      <c r="W267" s="4">
        <v>144.9</v>
      </c>
      <c r="X267">
        <v>151.69999999999999</v>
      </c>
      <c r="Y267">
        <v>158.19999999999999</v>
      </c>
      <c r="Z267">
        <v>141.4</v>
      </c>
      <c r="AA267">
        <v>153.19999999999999</v>
      </c>
      <c r="AB267">
        <v>161.80000000000001</v>
      </c>
      <c r="AC267">
        <v>151.19999999999999</v>
      </c>
      <c r="AD267" s="7">
        <v>151.69999999999999</v>
      </c>
      <c r="AE267">
        <v>152.69999999999999</v>
      </c>
    </row>
    <row r="268" spans="1:31" x14ac:dyDescent="0.3">
      <c r="A268" t="s">
        <v>33</v>
      </c>
      <c r="B268">
        <v>2020</v>
      </c>
      <c r="C268" t="s">
        <v>39</v>
      </c>
      <c r="D268" s="10" t="str">
        <f xml:space="preserve"> _xlfn.CONCAT(Table1[[#This Row],[Month]],",",Table1[[#This Row],[Year]])</f>
        <v>June,2020</v>
      </c>
      <c r="E268">
        <v>152.69999999999999</v>
      </c>
      <c r="F268">
        <v>197</v>
      </c>
      <c r="G268">
        <v>154.6</v>
      </c>
      <c r="H268">
        <v>153.4</v>
      </c>
      <c r="I268">
        <v>132.9</v>
      </c>
      <c r="J268">
        <v>151.80000000000001</v>
      </c>
      <c r="K268">
        <v>171.2</v>
      </c>
      <c r="L268">
        <v>152</v>
      </c>
      <c r="M268">
        <v>116.3</v>
      </c>
      <c r="N268">
        <v>158.80000000000001</v>
      </c>
      <c r="O268">
        <v>135.6</v>
      </c>
      <c r="P268">
        <v>161.69999999999999</v>
      </c>
      <c r="Q268" s="3">
        <v>157</v>
      </c>
      <c r="R268" s="7">
        <v>186.7</v>
      </c>
      <c r="S268">
        <v>149.1</v>
      </c>
      <c r="T268">
        <v>136.6</v>
      </c>
      <c r="U268" s="5">
        <v>147.19999999999999</v>
      </c>
      <c r="V268" s="6">
        <v>154.69999999999999</v>
      </c>
      <c r="W268" s="4">
        <v>137.1</v>
      </c>
      <c r="X268">
        <v>140.4</v>
      </c>
      <c r="Y268">
        <v>148.1</v>
      </c>
      <c r="Z268">
        <v>129.30000000000001</v>
      </c>
      <c r="AA268">
        <v>144.5</v>
      </c>
      <c r="AB268">
        <v>152.5</v>
      </c>
      <c r="AC268">
        <v>152.19999999999999</v>
      </c>
      <c r="AD268" s="7">
        <v>142</v>
      </c>
      <c r="AE268">
        <v>150.80000000000001</v>
      </c>
    </row>
    <row r="269" spans="1:31" x14ac:dyDescent="0.3">
      <c r="A269" t="s">
        <v>34</v>
      </c>
      <c r="B269">
        <v>2020</v>
      </c>
      <c r="C269" t="s">
        <v>39</v>
      </c>
      <c r="D269" s="10" t="str">
        <f xml:space="preserve"> _xlfn.CONCAT(Table1[[#This Row],[Month]],",",Table1[[#This Row],[Year]])</f>
        <v>June,2020</v>
      </c>
      <c r="E269">
        <v>149.6</v>
      </c>
      <c r="F269">
        <v>192.7</v>
      </c>
      <c r="G269">
        <v>151.4</v>
      </c>
      <c r="H269">
        <v>153.30000000000001</v>
      </c>
      <c r="I269">
        <v>136.30000000000001</v>
      </c>
      <c r="J269">
        <v>147.19999999999999</v>
      </c>
      <c r="K269">
        <v>156.5</v>
      </c>
      <c r="L269">
        <v>150.9</v>
      </c>
      <c r="M269">
        <v>114.2</v>
      </c>
      <c r="N269">
        <v>159.5</v>
      </c>
      <c r="O269">
        <v>139.4</v>
      </c>
      <c r="P269">
        <v>161.80000000000001</v>
      </c>
      <c r="Q269" s="3">
        <v>154</v>
      </c>
      <c r="R269" s="7">
        <v>183.5</v>
      </c>
      <c r="S269">
        <v>152.5</v>
      </c>
      <c r="T269">
        <v>144.4</v>
      </c>
      <c r="U269" s="5">
        <v>151.4</v>
      </c>
      <c r="V269" s="6">
        <v>154.69999999999999</v>
      </c>
      <c r="W269" s="4">
        <v>141.9</v>
      </c>
      <c r="X269">
        <v>146.4</v>
      </c>
      <c r="Y269">
        <v>154.4</v>
      </c>
      <c r="Z269">
        <v>135</v>
      </c>
      <c r="AA269">
        <v>148.30000000000001</v>
      </c>
      <c r="AB269">
        <v>156.4</v>
      </c>
      <c r="AC269">
        <v>151.6</v>
      </c>
      <c r="AD269" s="7">
        <v>147</v>
      </c>
      <c r="AE269">
        <v>151.80000000000001</v>
      </c>
    </row>
    <row r="270" spans="1:31" x14ac:dyDescent="0.3">
      <c r="A270" t="s">
        <v>30</v>
      </c>
      <c r="B270">
        <v>2020</v>
      </c>
      <c r="C270" t="s">
        <v>40</v>
      </c>
      <c r="D270" s="10" t="str">
        <f xml:space="preserve"> _xlfn.CONCAT(Table1[[#This Row],[Month]],",",Table1[[#This Row],[Year]])</f>
        <v>July,2020</v>
      </c>
      <c r="E270">
        <v>148.19999999999999</v>
      </c>
      <c r="F270">
        <v>190.3</v>
      </c>
      <c r="G270">
        <v>149.4</v>
      </c>
      <c r="H270">
        <v>153.30000000000001</v>
      </c>
      <c r="I270">
        <v>138.19999999999999</v>
      </c>
      <c r="J270">
        <v>143.19999999999999</v>
      </c>
      <c r="K270">
        <v>148.9</v>
      </c>
      <c r="L270">
        <v>150.30000000000001</v>
      </c>
      <c r="M270">
        <v>113.2</v>
      </c>
      <c r="N270">
        <v>159.80000000000001</v>
      </c>
      <c r="O270">
        <v>142.1</v>
      </c>
      <c r="P270">
        <v>161.80000000000001</v>
      </c>
      <c r="Q270" s="3">
        <v>152.30000000000001</v>
      </c>
      <c r="R270" s="7">
        <v>182.4</v>
      </c>
      <c r="S270">
        <v>154.69999999999999</v>
      </c>
      <c r="T270">
        <v>150</v>
      </c>
      <c r="U270" s="5">
        <v>154.1</v>
      </c>
      <c r="V270" s="6" t="s">
        <v>32</v>
      </c>
      <c r="W270" s="4">
        <v>144.9</v>
      </c>
      <c r="X270">
        <v>151.69999999999999</v>
      </c>
      <c r="Y270">
        <v>158.19999999999999</v>
      </c>
      <c r="Z270">
        <v>141.4</v>
      </c>
      <c r="AA270">
        <v>153.19999999999999</v>
      </c>
      <c r="AB270">
        <v>161.80000000000001</v>
      </c>
      <c r="AC270">
        <v>151.19999999999999</v>
      </c>
      <c r="AD270" s="7">
        <v>151.69999999999999</v>
      </c>
      <c r="AE270">
        <v>152.69999999999999</v>
      </c>
    </row>
    <row r="271" spans="1:31" x14ac:dyDescent="0.3">
      <c r="A271" t="s">
        <v>33</v>
      </c>
      <c r="B271">
        <v>2020</v>
      </c>
      <c r="C271" t="s">
        <v>40</v>
      </c>
      <c r="D271" s="10" t="str">
        <f xml:space="preserve"> _xlfn.CONCAT(Table1[[#This Row],[Month]],",",Table1[[#This Row],[Year]])</f>
        <v>July,2020</v>
      </c>
      <c r="E271">
        <v>152.69999999999999</v>
      </c>
      <c r="F271">
        <v>197</v>
      </c>
      <c r="G271">
        <v>154.6</v>
      </c>
      <c r="H271">
        <v>153.4</v>
      </c>
      <c r="I271">
        <v>132.9</v>
      </c>
      <c r="J271">
        <v>151.80000000000001</v>
      </c>
      <c r="K271">
        <v>171.2</v>
      </c>
      <c r="L271">
        <v>152</v>
      </c>
      <c r="M271">
        <v>116.3</v>
      </c>
      <c r="N271">
        <v>158.80000000000001</v>
      </c>
      <c r="O271">
        <v>135.6</v>
      </c>
      <c r="P271">
        <v>161.69999999999999</v>
      </c>
      <c r="Q271" s="3">
        <v>157</v>
      </c>
      <c r="R271" s="7">
        <v>186.7</v>
      </c>
      <c r="S271">
        <v>149.1</v>
      </c>
      <c r="T271">
        <v>136.6</v>
      </c>
      <c r="U271" s="5">
        <v>147.19999999999999</v>
      </c>
      <c r="V271" s="6">
        <v>154.69999999999999</v>
      </c>
      <c r="W271" s="4">
        <v>137.1</v>
      </c>
      <c r="X271">
        <v>140.4</v>
      </c>
      <c r="Y271">
        <v>148.1</v>
      </c>
      <c r="Z271">
        <v>129.30000000000001</v>
      </c>
      <c r="AA271">
        <v>144.5</v>
      </c>
      <c r="AB271">
        <v>152.5</v>
      </c>
      <c r="AC271">
        <v>152.19999999999999</v>
      </c>
      <c r="AD271" s="7">
        <v>142</v>
      </c>
      <c r="AE271">
        <v>150.80000000000001</v>
      </c>
    </row>
    <row r="272" spans="1:31" x14ac:dyDescent="0.3">
      <c r="A272" t="s">
        <v>34</v>
      </c>
      <c r="B272">
        <v>2020</v>
      </c>
      <c r="C272" t="s">
        <v>40</v>
      </c>
      <c r="D272" s="10" t="str">
        <f xml:space="preserve"> _xlfn.CONCAT(Table1[[#This Row],[Month]],",",Table1[[#This Row],[Year]])</f>
        <v>July,2020</v>
      </c>
      <c r="E272">
        <v>149.6</v>
      </c>
      <c r="F272">
        <v>192.7</v>
      </c>
      <c r="G272">
        <v>151.4</v>
      </c>
      <c r="H272">
        <v>153.30000000000001</v>
      </c>
      <c r="I272">
        <v>136.30000000000001</v>
      </c>
      <c r="J272">
        <v>147.19999999999999</v>
      </c>
      <c r="K272">
        <v>156.5</v>
      </c>
      <c r="L272">
        <v>150.9</v>
      </c>
      <c r="M272">
        <v>114.2</v>
      </c>
      <c r="N272">
        <v>159.5</v>
      </c>
      <c r="O272">
        <v>139.4</v>
      </c>
      <c r="P272">
        <v>161.80000000000001</v>
      </c>
      <c r="Q272" s="3">
        <v>154</v>
      </c>
      <c r="R272" s="7">
        <v>183.5</v>
      </c>
      <c r="S272">
        <v>152.5</v>
      </c>
      <c r="T272">
        <v>144.4</v>
      </c>
      <c r="U272" s="5">
        <v>151.4</v>
      </c>
      <c r="V272" s="6">
        <v>154.69999999999999</v>
      </c>
      <c r="W272" s="4">
        <v>141.9</v>
      </c>
      <c r="X272">
        <v>146.4</v>
      </c>
      <c r="Y272">
        <v>154.4</v>
      </c>
      <c r="Z272">
        <v>135</v>
      </c>
      <c r="AA272">
        <v>148.30000000000001</v>
      </c>
      <c r="AB272">
        <v>156.4</v>
      </c>
      <c r="AC272">
        <v>151.6</v>
      </c>
      <c r="AD272" s="7">
        <v>147</v>
      </c>
      <c r="AE272">
        <v>151.80000000000001</v>
      </c>
    </row>
    <row r="273" spans="1:31" x14ac:dyDescent="0.3">
      <c r="A273" t="s">
        <v>30</v>
      </c>
      <c r="B273">
        <v>2020</v>
      </c>
      <c r="C273" t="s">
        <v>41</v>
      </c>
      <c r="D273" s="10" t="str">
        <f xml:space="preserve"> _xlfn.CONCAT(Table1[[#This Row],[Month]],",",Table1[[#This Row],[Year]])</f>
        <v>August,2020</v>
      </c>
      <c r="E273">
        <v>147.6</v>
      </c>
      <c r="F273">
        <v>187.2</v>
      </c>
      <c r="G273">
        <v>148.4</v>
      </c>
      <c r="H273">
        <v>153.30000000000001</v>
      </c>
      <c r="I273">
        <v>139.80000000000001</v>
      </c>
      <c r="J273">
        <v>146.9</v>
      </c>
      <c r="K273">
        <v>171</v>
      </c>
      <c r="L273">
        <v>149.9</v>
      </c>
      <c r="M273">
        <v>114.2</v>
      </c>
      <c r="N273">
        <v>160</v>
      </c>
      <c r="O273">
        <v>143.5</v>
      </c>
      <c r="P273">
        <v>161.5</v>
      </c>
      <c r="Q273" s="3">
        <v>155.30000000000001</v>
      </c>
      <c r="R273" s="7">
        <v>180.9</v>
      </c>
      <c r="S273">
        <v>155.1</v>
      </c>
      <c r="T273">
        <v>149.30000000000001</v>
      </c>
      <c r="U273" s="5">
        <v>154.30000000000001</v>
      </c>
      <c r="V273" s="6" t="s">
        <v>32</v>
      </c>
      <c r="W273" s="4">
        <v>145.80000000000001</v>
      </c>
      <c r="X273">
        <v>151.9</v>
      </c>
      <c r="Y273">
        <v>158.80000000000001</v>
      </c>
      <c r="Z273">
        <v>143.6</v>
      </c>
      <c r="AA273">
        <v>152.19999999999999</v>
      </c>
      <c r="AB273">
        <v>162.69999999999999</v>
      </c>
      <c r="AC273">
        <v>153.6</v>
      </c>
      <c r="AD273" s="7">
        <v>153</v>
      </c>
      <c r="AE273">
        <v>154.69999999999999</v>
      </c>
    </row>
    <row r="274" spans="1:31" x14ac:dyDescent="0.3">
      <c r="A274" t="s">
        <v>33</v>
      </c>
      <c r="B274">
        <v>2020</v>
      </c>
      <c r="C274" t="s">
        <v>41</v>
      </c>
      <c r="D274" s="10" t="str">
        <f xml:space="preserve"> _xlfn.CONCAT(Table1[[#This Row],[Month]],",",Table1[[#This Row],[Year]])</f>
        <v>August,2020</v>
      </c>
      <c r="E274">
        <v>151.6</v>
      </c>
      <c r="F274">
        <v>197.8</v>
      </c>
      <c r="G274">
        <v>154.5</v>
      </c>
      <c r="H274">
        <v>153.4</v>
      </c>
      <c r="I274">
        <v>133.4</v>
      </c>
      <c r="J274">
        <v>154.5</v>
      </c>
      <c r="K274">
        <v>191.9</v>
      </c>
      <c r="L274">
        <v>151.30000000000001</v>
      </c>
      <c r="M274">
        <v>116.8</v>
      </c>
      <c r="N274">
        <v>160</v>
      </c>
      <c r="O274">
        <v>136.5</v>
      </c>
      <c r="P274">
        <v>163.30000000000001</v>
      </c>
      <c r="Q274" s="3">
        <v>159.9</v>
      </c>
      <c r="R274" s="7">
        <v>187.2</v>
      </c>
      <c r="S274">
        <v>150</v>
      </c>
      <c r="T274">
        <v>135.19999999999999</v>
      </c>
      <c r="U274" s="5">
        <v>147.80000000000001</v>
      </c>
      <c r="V274" s="6">
        <v>155.5</v>
      </c>
      <c r="W274" s="4">
        <v>138.30000000000001</v>
      </c>
      <c r="X274">
        <v>144.5</v>
      </c>
      <c r="Y274">
        <v>148.69999999999999</v>
      </c>
      <c r="Z274">
        <v>133.9</v>
      </c>
      <c r="AA274">
        <v>141.19999999999999</v>
      </c>
      <c r="AB274">
        <v>155.5</v>
      </c>
      <c r="AC274">
        <v>155.19999999999999</v>
      </c>
      <c r="AD274" s="7">
        <v>144.80000000000001</v>
      </c>
      <c r="AE274">
        <v>152.9</v>
      </c>
    </row>
    <row r="275" spans="1:31" x14ac:dyDescent="0.3">
      <c r="A275" t="s">
        <v>34</v>
      </c>
      <c r="B275">
        <v>2020</v>
      </c>
      <c r="C275" t="s">
        <v>41</v>
      </c>
      <c r="D275" s="10" t="str">
        <f xml:space="preserve"> _xlfn.CONCAT(Table1[[#This Row],[Month]],",",Table1[[#This Row],[Year]])</f>
        <v>August,2020</v>
      </c>
      <c r="E275">
        <v>148.9</v>
      </c>
      <c r="F275">
        <v>190.9</v>
      </c>
      <c r="G275">
        <v>150.80000000000001</v>
      </c>
      <c r="H275">
        <v>153.30000000000001</v>
      </c>
      <c r="I275">
        <v>137.4</v>
      </c>
      <c r="J275">
        <v>150.4</v>
      </c>
      <c r="K275">
        <v>178.1</v>
      </c>
      <c r="L275">
        <v>150.4</v>
      </c>
      <c r="M275">
        <v>115.1</v>
      </c>
      <c r="N275">
        <v>160</v>
      </c>
      <c r="O275">
        <v>140.6</v>
      </c>
      <c r="P275">
        <v>162.30000000000001</v>
      </c>
      <c r="Q275" s="3">
        <v>157</v>
      </c>
      <c r="R275" s="7">
        <v>182.6</v>
      </c>
      <c r="S275">
        <v>153.1</v>
      </c>
      <c r="T275">
        <v>143.4</v>
      </c>
      <c r="U275" s="5">
        <v>151.69999999999999</v>
      </c>
      <c r="V275" s="6">
        <v>155.5</v>
      </c>
      <c r="W275" s="4">
        <v>143</v>
      </c>
      <c r="X275">
        <v>148.4</v>
      </c>
      <c r="Y275">
        <v>155</v>
      </c>
      <c r="Z275">
        <v>138.5</v>
      </c>
      <c r="AA275">
        <v>146</v>
      </c>
      <c r="AB275">
        <v>158.5</v>
      </c>
      <c r="AC275">
        <v>154.30000000000001</v>
      </c>
      <c r="AD275" s="7">
        <v>149</v>
      </c>
      <c r="AE275">
        <v>153.9</v>
      </c>
    </row>
    <row r="276" spans="1:31" x14ac:dyDescent="0.3">
      <c r="A276" t="s">
        <v>30</v>
      </c>
      <c r="B276">
        <v>2020</v>
      </c>
      <c r="C276" t="s">
        <v>42</v>
      </c>
      <c r="D276" s="10" t="str">
        <f xml:space="preserve"> _xlfn.CONCAT(Table1[[#This Row],[Month]],",",Table1[[#This Row],[Year]])</f>
        <v>September,2020</v>
      </c>
      <c r="E276">
        <v>146.9</v>
      </c>
      <c r="F276">
        <v>183.9</v>
      </c>
      <c r="G276">
        <v>149.5</v>
      </c>
      <c r="H276">
        <v>153.4</v>
      </c>
      <c r="I276">
        <v>140.4</v>
      </c>
      <c r="J276">
        <v>147</v>
      </c>
      <c r="K276">
        <v>178.8</v>
      </c>
      <c r="L276">
        <v>149.30000000000001</v>
      </c>
      <c r="M276">
        <v>115.1</v>
      </c>
      <c r="N276">
        <v>160</v>
      </c>
      <c r="O276">
        <v>145.4</v>
      </c>
      <c r="P276">
        <v>161.6</v>
      </c>
      <c r="Q276" s="3">
        <v>156.1</v>
      </c>
      <c r="R276" s="7">
        <v>182.9</v>
      </c>
      <c r="S276">
        <v>155.4</v>
      </c>
      <c r="T276">
        <v>149.9</v>
      </c>
      <c r="U276" s="5">
        <v>154.6</v>
      </c>
      <c r="V276" s="6" t="s">
        <v>32</v>
      </c>
      <c r="W276" s="4">
        <v>146.4</v>
      </c>
      <c r="X276">
        <v>151.6</v>
      </c>
      <c r="Y276">
        <v>159.1</v>
      </c>
      <c r="Z276">
        <v>144.6</v>
      </c>
      <c r="AA276">
        <v>152.80000000000001</v>
      </c>
      <c r="AB276">
        <v>161.1</v>
      </c>
      <c r="AC276">
        <v>157.4</v>
      </c>
      <c r="AD276" s="7">
        <v>153.69999999999999</v>
      </c>
      <c r="AE276">
        <v>155.4</v>
      </c>
    </row>
    <row r="277" spans="1:31" x14ac:dyDescent="0.3">
      <c r="A277" t="s">
        <v>33</v>
      </c>
      <c r="B277">
        <v>2020</v>
      </c>
      <c r="C277" t="s">
        <v>42</v>
      </c>
      <c r="D277" s="10" t="str">
        <f xml:space="preserve"> _xlfn.CONCAT(Table1[[#This Row],[Month]],",",Table1[[#This Row],[Year]])</f>
        <v>September,2020</v>
      </c>
      <c r="E277">
        <v>151.5</v>
      </c>
      <c r="F277">
        <v>193.1</v>
      </c>
      <c r="G277">
        <v>157.30000000000001</v>
      </c>
      <c r="H277">
        <v>153.9</v>
      </c>
      <c r="I277">
        <v>134.4</v>
      </c>
      <c r="J277">
        <v>155.4</v>
      </c>
      <c r="K277">
        <v>202</v>
      </c>
      <c r="L277">
        <v>150.80000000000001</v>
      </c>
      <c r="M277">
        <v>118.9</v>
      </c>
      <c r="N277">
        <v>160.9</v>
      </c>
      <c r="O277">
        <v>137.69999999999999</v>
      </c>
      <c r="P277">
        <v>164.4</v>
      </c>
      <c r="Q277" s="3">
        <v>161.30000000000001</v>
      </c>
      <c r="R277" s="7">
        <v>188.7</v>
      </c>
      <c r="S277">
        <v>150.19999999999999</v>
      </c>
      <c r="T277">
        <v>136.30000000000001</v>
      </c>
      <c r="U277" s="5">
        <v>148.1</v>
      </c>
      <c r="V277" s="6">
        <v>156.30000000000001</v>
      </c>
      <c r="W277" s="4">
        <v>137.19999999999999</v>
      </c>
      <c r="X277">
        <v>145.4</v>
      </c>
      <c r="Y277">
        <v>150</v>
      </c>
      <c r="Z277">
        <v>135.1</v>
      </c>
      <c r="AA277">
        <v>141.80000000000001</v>
      </c>
      <c r="AB277">
        <v>154.9</v>
      </c>
      <c r="AC277">
        <v>159.80000000000001</v>
      </c>
      <c r="AD277" s="7">
        <v>146</v>
      </c>
      <c r="AE277">
        <v>154</v>
      </c>
    </row>
    <row r="278" spans="1:31" x14ac:dyDescent="0.3">
      <c r="A278" t="s">
        <v>34</v>
      </c>
      <c r="B278">
        <v>2020</v>
      </c>
      <c r="C278" t="s">
        <v>42</v>
      </c>
      <c r="D278" s="10" t="str">
        <f xml:space="preserve"> _xlfn.CONCAT(Table1[[#This Row],[Month]],",",Table1[[#This Row],[Year]])</f>
        <v>September,2020</v>
      </c>
      <c r="E278">
        <v>148.4</v>
      </c>
      <c r="F278">
        <v>187.1</v>
      </c>
      <c r="G278">
        <v>152.5</v>
      </c>
      <c r="H278">
        <v>153.6</v>
      </c>
      <c r="I278">
        <v>138.19999999999999</v>
      </c>
      <c r="J278">
        <v>150.9</v>
      </c>
      <c r="K278">
        <v>186.7</v>
      </c>
      <c r="L278">
        <v>149.80000000000001</v>
      </c>
      <c r="M278">
        <v>116.4</v>
      </c>
      <c r="N278">
        <v>160.30000000000001</v>
      </c>
      <c r="O278">
        <v>142.19999999999999</v>
      </c>
      <c r="P278">
        <v>162.9</v>
      </c>
      <c r="Q278" s="3">
        <v>158</v>
      </c>
      <c r="R278" s="7">
        <v>184.4</v>
      </c>
      <c r="S278">
        <v>153.4</v>
      </c>
      <c r="T278">
        <v>144.30000000000001</v>
      </c>
      <c r="U278" s="5">
        <v>152</v>
      </c>
      <c r="V278" s="6">
        <v>156.30000000000001</v>
      </c>
      <c r="W278" s="4">
        <v>142.9</v>
      </c>
      <c r="X278">
        <v>148.69999999999999</v>
      </c>
      <c r="Y278">
        <v>155.6</v>
      </c>
      <c r="Z278">
        <v>139.6</v>
      </c>
      <c r="AA278">
        <v>146.6</v>
      </c>
      <c r="AB278">
        <v>157.5</v>
      </c>
      <c r="AC278">
        <v>158.4</v>
      </c>
      <c r="AD278" s="7">
        <v>150</v>
      </c>
      <c r="AE278">
        <v>154.69999999999999</v>
      </c>
    </row>
    <row r="279" spans="1:31" x14ac:dyDescent="0.3">
      <c r="A279" t="s">
        <v>30</v>
      </c>
      <c r="B279">
        <v>2020</v>
      </c>
      <c r="C279" t="s">
        <v>43</v>
      </c>
      <c r="D279" s="10" t="str">
        <f xml:space="preserve"> _xlfn.CONCAT(Table1[[#This Row],[Month]],",",Table1[[#This Row],[Year]])</f>
        <v>October,2020</v>
      </c>
      <c r="E279">
        <v>146</v>
      </c>
      <c r="F279">
        <v>186.3</v>
      </c>
      <c r="G279">
        <v>159.19999999999999</v>
      </c>
      <c r="H279">
        <v>153.6</v>
      </c>
      <c r="I279">
        <v>142.6</v>
      </c>
      <c r="J279">
        <v>147.19999999999999</v>
      </c>
      <c r="K279">
        <v>200.6</v>
      </c>
      <c r="L279">
        <v>150.30000000000001</v>
      </c>
      <c r="M279">
        <v>115.3</v>
      </c>
      <c r="N279">
        <v>160.9</v>
      </c>
      <c r="O279">
        <v>147.4</v>
      </c>
      <c r="P279">
        <v>161.9</v>
      </c>
      <c r="Q279" s="3">
        <v>159.6</v>
      </c>
      <c r="R279" s="7">
        <v>182.7</v>
      </c>
      <c r="S279">
        <v>155.69999999999999</v>
      </c>
      <c r="T279">
        <v>150.6</v>
      </c>
      <c r="U279" s="5">
        <v>155</v>
      </c>
      <c r="V279" s="6" t="s">
        <v>32</v>
      </c>
      <c r="W279" s="4">
        <v>146.80000000000001</v>
      </c>
      <c r="X279">
        <v>152</v>
      </c>
      <c r="Y279">
        <v>159.5</v>
      </c>
      <c r="Z279">
        <v>146.4</v>
      </c>
      <c r="AA279">
        <v>152.4</v>
      </c>
      <c r="AB279">
        <v>162.5</v>
      </c>
      <c r="AC279">
        <v>156.19999999999999</v>
      </c>
      <c r="AD279" s="7">
        <v>154.30000000000001</v>
      </c>
      <c r="AE279">
        <v>157.5</v>
      </c>
    </row>
    <row r="280" spans="1:31" x14ac:dyDescent="0.3">
      <c r="A280" t="s">
        <v>33</v>
      </c>
      <c r="B280">
        <v>2020</v>
      </c>
      <c r="C280" t="s">
        <v>43</v>
      </c>
      <c r="D280" s="10" t="str">
        <f xml:space="preserve"> _xlfn.CONCAT(Table1[[#This Row],[Month]],",",Table1[[#This Row],[Year]])</f>
        <v>October,2020</v>
      </c>
      <c r="E280">
        <v>150.6</v>
      </c>
      <c r="F280">
        <v>193.7</v>
      </c>
      <c r="G280">
        <v>164.8</v>
      </c>
      <c r="H280">
        <v>153.69999999999999</v>
      </c>
      <c r="I280">
        <v>135.69999999999999</v>
      </c>
      <c r="J280">
        <v>155.69999999999999</v>
      </c>
      <c r="K280">
        <v>226</v>
      </c>
      <c r="L280">
        <v>152.19999999999999</v>
      </c>
      <c r="M280">
        <v>118.1</v>
      </c>
      <c r="N280">
        <v>161.30000000000001</v>
      </c>
      <c r="O280">
        <v>139.19999999999999</v>
      </c>
      <c r="P280">
        <v>164.8</v>
      </c>
      <c r="Q280" s="3">
        <v>164.4</v>
      </c>
      <c r="R280" s="7">
        <v>188.7</v>
      </c>
      <c r="S280">
        <v>150.5</v>
      </c>
      <c r="T280">
        <v>136.1</v>
      </c>
      <c r="U280" s="5">
        <v>148.30000000000001</v>
      </c>
      <c r="V280" s="6">
        <v>156.5</v>
      </c>
      <c r="W280" s="4">
        <v>137.1</v>
      </c>
      <c r="X280">
        <v>145.1</v>
      </c>
      <c r="Y280">
        <v>151</v>
      </c>
      <c r="Z280">
        <v>135.4</v>
      </c>
      <c r="AA280">
        <v>142</v>
      </c>
      <c r="AB280">
        <v>155.69999999999999</v>
      </c>
      <c r="AC280">
        <v>158.1</v>
      </c>
      <c r="AD280" s="7">
        <v>146.19999999999999</v>
      </c>
      <c r="AE280">
        <v>155.19999999999999</v>
      </c>
    </row>
    <row r="281" spans="1:31" x14ac:dyDescent="0.3">
      <c r="A281" t="s">
        <v>34</v>
      </c>
      <c r="B281">
        <v>2020</v>
      </c>
      <c r="C281" t="s">
        <v>43</v>
      </c>
      <c r="D281" s="10" t="str">
        <f xml:space="preserve"> _xlfn.CONCAT(Table1[[#This Row],[Month]],",",Table1[[#This Row],[Year]])</f>
        <v>October,2020</v>
      </c>
      <c r="E281">
        <v>147.5</v>
      </c>
      <c r="F281">
        <v>188.9</v>
      </c>
      <c r="G281">
        <v>161.4</v>
      </c>
      <c r="H281">
        <v>153.6</v>
      </c>
      <c r="I281">
        <v>140.1</v>
      </c>
      <c r="J281">
        <v>151.19999999999999</v>
      </c>
      <c r="K281">
        <v>209.2</v>
      </c>
      <c r="L281">
        <v>150.9</v>
      </c>
      <c r="M281">
        <v>116.2</v>
      </c>
      <c r="N281">
        <v>161</v>
      </c>
      <c r="O281">
        <v>144</v>
      </c>
      <c r="P281">
        <v>163.19999999999999</v>
      </c>
      <c r="Q281" s="3">
        <v>161.4</v>
      </c>
      <c r="R281" s="7">
        <v>184.3</v>
      </c>
      <c r="S281">
        <v>153.69999999999999</v>
      </c>
      <c r="T281">
        <v>144.6</v>
      </c>
      <c r="U281" s="5">
        <v>152.30000000000001</v>
      </c>
      <c r="V281" s="6">
        <v>156.5</v>
      </c>
      <c r="W281" s="4">
        <v>143.1</v>
      </c>
      <c r="X281">
        <v>148.69999999999999</v>
      </c>
      <c r="Y281">
        <v>156.30000000000001</v>
      </c>
      <c r="Z281">
        <v>140.6</v>
      </c>
      <c r="AA281">
        <v>146.5</v>
      </c>
      <c r="AB281">
        <v>158.5</v>
      </c>
      <c r="AC281">
        <v>157</v>
      </c>
      <c r="AD281" s="7">
        <v>150.4</v>
      </c>
      <c r="AE281">
        <v>156.4</v>
      </c>
    </row>
    <row r="282" spans="1:31" x14ac:dyDescent="0.3">
      <c r="A282" t="s">
        <v>30</v>
      </c>
      <c r="B282">
        <v>2020</v>
      </c>
      <c r="C282" t="s">
        <v>45</v>
      </c>
      <c r="D282" s="10" t="str">
        <f xml:space="preserve"> _xlfn.CONCAT(Table1[[#This Row],[Month]],",",Table1[[#This Row],[Year]])</f>
        <v>November,2020</v>
      </c>
      <c r="E282">
        <v>145.4</v>
      </c>
      <c r="F282">
        <v>188.6</v>
      </c>
      <c r="G282">
        <v>171.6</v>
      </c>
      <c r="H282">
        <v>153.80000000000001</v>
      </c>
      <c r="I282">
        <v>145.4</v>
      </c>
      <c r="J282">
        <v>146.5</v>
      </c>
      <c r="K282">
        <v>222.2</v>
      </c>
      <c r="L282">
        <v>155.9</v>
      </c>
      <c r="M282">
        <v>114.9</v>
      </c>
      <c r="N282">
        <v>162</v>
      </c>
      <c r="O282">
        <v>150</v>
      </c>
      <c r="P282">
        <v>162.69999999999999</v>
      </c>
      <c r="Q282" s="3">
        <v>163.4</v>
      </c>
      <c r="R282" s="7">
        <v>183.4</v>
      </c>
      <c r="S282">
        <v>156.30000000000001</v>
      </c>
      <c r="T282">
        <v>151</v>
      </c>
      <c r="U282" s="5">
        <v>155.5</v>
      </c>
      <c r="V282" s="6" t="s">
        <v>32</v>
      </c>
      <c r="W282" s="4">
        <v>147.5</v>
      </c>
      <c r="X282">
        <v>152.80000000000001</v>
      </c>
      <c r="Y282">
        <v>160.4</v>
      </c>
      <c r="Z282">
        <v>146.1</v>
      </c>
      <c r="AA282">
        <v>153.6</v>
      </c>
      <c r="AB282">
        <v>161.6</v>
      </c>
      <c r="AC282">
        <v>156.19999999999999</v>
      </c>
      <c r="AD282" s="7">
        <v>154.5</v>
      </c>
      <c r="AE282">
        <v>159.80000000000001</v>
      </c>
    </row>
    <row r="283" spans="1:31" x14ac:dyDescent="0.3">
      <c r="A283" t="s">
        <v>33</v>
      </c>
      <c r="B283">
        <v>2020</v>
      </c>
      <c r="C283" t="s">
        <v>45</v>
      </c>
      <c r="D283" s="10" t="str">
        <f xml:space="preserve"> _xlfn.CONCAT(Table1[[#This Row],[Month]],",",Table1[[#This Row],[Year]])</f>
        <v>November,2020</v>
      </c>
      <c r="E283">
        <v>149.69999999999999</v>
      </c>
      <c r="F283">
        <v>195.5</v>
      </c>
      <c r="G283">
        <v>176.9</v>
      </c>
      <c r="H283">
        <v>153.9</v>
      </c>
      <c r="I283">
        <v>138</v>
      </c>
      <c r="J283">
        <v>150.5</v>
      </c>
      <c r="K283">
        <v>245.3</v>
      </c>
      <c r="L283">
        <v>158.69999999999999</v>
      </c>
      <c r="M283">
        <v>117.2</v>
      </c>
      <c r="N283">
        <v>161.4</v>
      </c>
      <c r="O283">
        <v>141.5</v>
      </c>
      <c r="P283">
        <v>165.1</v>
      </c>
      <c r="Q283" s="3">
        <v>167</v>
      </c>
      <c r="R283" s="7">
        <v>188.8</v>
      </c>
      <c r="S283">
        <v>151.1</v>
      </c>
      <c r="T283">
        <v>136.4</v>
      </c>
      <c r="U283" s="5">
        <v>148.80000000000001</v>
      </c>
      <c r="V283" s="6">
        <v>158</v>
      </c>
      <c r="W283" s="4">
        <v>137.30000000000001</v>
      </c>
      <c r="X283">
        <v>145.1</v>
      </c>
      <c r="Y283">
        <v>152</v>
      </c>
      <c r="Z283">
        <v>135.19999999999999</v>
      </c>
      <c r="AA283">
        <v>144.4</v>
      </c>
      <c r="AB283">
        <v>156.4</v>
      </c>
      <c r="AC283">
        <v>157.9</v>
      </c>
      <c r="AD283" s="7">
        <v>146.6</v>
      </c>
      <c r="AE283">
        <v>156.69999999999999</v>
      </c>
    </row>
    <row r="284" spans="1:31" x14ac:dyDescent="0.3">
      <c r="A284" t="s">
        <v>34</v>
      </c>
      <c r="B284">
        <v>2020</v>
      </c>
      <c r="C284" t="s">
        <v>45</v>
      </c>
      <c r="D284" s="10" t="str">
        <f xml:space="preserve"> _xlfn.CONCAT(Table1[[#This Row],[Month]],",",Table1[[#This Row],[Year]])</f>
        <v>November,2020</v>
      </c>
      <c r="E284">
        <v>146.80000000000001</v>
      </c>
      <c r="F284">
        <v>191</v>
      </c>
      <c r="G284">
        <v>173.6</v>
      </c>
      <c r="H284">
        <v>153.80000000000001</v>
      </c>
      <c r="I284">
        <v>142.69999999999999</v>
      </c>
      <c r="J284">
        <v>148.4</v>
      </c>
      <c r="K284">
        <v>230</v>
      </c>
      <c r="L284">
        <v>156.80000000000001</v>
      </c>
      <c r="M284">
        <v>115.7</v>
      </c>
      <c r="N284">
        <v>161.80000000000001</v>
      </c>
      <c r="O284">
        <v>146.5</v>
      </c>
      <c r="P284">
        <v>163.80000000000001</v>
      </c>
      <c r="Q284" s="3">
        <v>164.7</v>
      </c>
      <c r="R284" s="7">
        <v>184.8</v>
      </c>
      <c r="S284">
        <v>154.30000000000001</v>
      </c>
      <c r="T284">
        <v>144.9</v>
      </c>
      <c r="U284" s="5">
        <v>152.80000000000001</v>
      </c>
      <c r="V284" s="6">
        <v>158</v>
      </c>
      <c r="W284" s="4">
        <v>143.6</v>
      </c>
      <c r="X284">
        <v>149.19999999999999</v>
      </c>
      <c r="Y284">
        <v>157.19999999999999</v>
      </c>
      <c r="Z284">
        <v>140.4</v>
      </c>
      <c r="AA284">
        <v>148.4</v>
      </c>
      <c r="AB284">
        <v>158.6</v>
      </c>
      <c r="AC284">
        <v>156.9</v>
      </c>
      <c r="AD284" s="7">
        <v>150.69999999999999</v>
      </c>
      <c r="AE284">
        <v>158.4</v>
      </c>
    </row>
    <row r="285" spans="1:31" x14ac:dyDescent="0.3">
      <c r="A285" t="s">
        <v>30</v>
      </c>
      <c r="B285">
        <v>2020</v>
      </c>
      <c r="C285" t="s">
        <v>46</v>
      </c>
      <c r="D285" s="10" t="str">
        <f xml:space="preserve"> _xlfn.CONCAT(Table1[[#This Row],[Month]],",",Table1[[#This Row],[Year]])</f>
        <v>December,2020</v>
      </c>
      <c r="E285">
        <v>144.6</v>
      </c>
      <c r="F285">
        <v>188.5</v>
      </c>
      <c r="G285">
        <v>173.4</v>
      </c>
      <c r="H285">
        <v>154</v>
      </c>
      <c r="I285">
        <v>150</v>
      </c>
      <c r="J285">
        <v>145.9</v>
      </c>
      <c r="K285">
        <v>225.2</v>
      </c>
      <c r="L285">
        <v>159.5</v>
      </c>
      <c r="M285">
        <v>114.4</v>
      </c>
      <c r="N285">
        <v>163.5</v>
      </c>
      <c r="O285">
        <v>153.4</v>
      </c>
      <c r="P285">
        <v>163.6</v>
      </c>
      <c r="Q285" s="3">
        <v>164.5</v>
      </c>
      <c r="R285" s="7">
        <v>183.6</v>
      </c>
      <c r="S285">
        <v>157</v>
      </c>
      <c r="T285">
        <v>151.6</v>
      </c>
      <c r="U285" s="5">
        <v>156.30000000000001</v>
      </c>
      <c r="V285" s="6" t="s">
        <v>32</v>
      </c>
      <c r="W285" s="4">
        <v>148.69999999999999</v>
      </c>
      <c r="X285">
        <v>153.4</v>
      </c>
      <c r="Y285">
        <v>161.6</v>
      </c>
      <c r="Z285">
        <v>146.4</v>
      </c>
      <c r="AA285">
        <v>153.9</v>
      </c>
      <c r="AB285">
        <v>162.9</v>
      </c>
      <c r="AC285">
        <v>156.6</v>
      </c>
      <c r="AD285" s="7">
        <v>155.19999999999999</v>
      </c>
      <c r="AE285">
        <v>160.69999999999999</v>
      </c>
    </row>
    <row r="286" spans="1:31" x14ac:dyDescent="0.3">
      <c r="A286" t="s">
        <v>33</v>
      </c>
      <c r="B286">
        <v>2020</v>
      </c>
      <c r="C286" t="s">
        <v>46</v>
      </c>
      <c r="D286" s="10" t="str">
        <f xml:space="preserve"> _xlfn.CONCAT(Table1[[#This Row],[Month]],",",Table1[[#This Row],[Year]])</f>
        <v>December,2020</v>
      </c>
      <c r="E286">
        <v>149</v>
      </c>
      <c r="F286">
        <v>195.7</v>
      </c>
      <c r="G286">
        <v>178.3</v>
      </c>
      <c r="H286">
        <v>154.19999999999999</v>
      </c>
      <c r="I286">
        <v>140.69999999999999</v>
      </c>
      <c r="J286">
        <v>149.69999999999999</v>
      </c>
      <c r="K286">
        <v>240.9</v>
      </c>
      <c r="L286">
        <v>161.5</v>
      </c>
      <c r="M286">
        <v>117.1</v>
      </c>
      <c r="N286">
        <v>161.9</v>
      </c>
      <c r="O286">
        <v>143.30000000000001</v>
      </c>
      <c r="P286">
        <v>166.1</v>
      </c>
      <c r="Q286" s="3">
        <v>167</v>
      </c>
      <c r="R286" s="7">
        <v>190.2</v>
      </c>
      <c r="S286">
        <v>151.9</v>
      </c>
      <c r="T286">
        <v>136.69999999999999</v>
      </c>
      <c r="U286" s="5">
        <v>149.6</v>
      </c>
      <c r="V286" s="6">
        <v>158.4</v>
      </c>
      <c r="W286" s="4">
        <v>137.9</v>
      </c>
      <c r="X286">
        <v>145.5</v>
      </c>
      <c r="Y286">
        <v>152.9</v>
      </c>
      <c r="Z286">
        <v>135.5</v>
      </c>
      <c r="AA286">
        <v>144.30000000000001</v>
      </c>
      <c r="AB286">
        <v>156.9</v>
      </c>
      <c r="AC286">
        <v>157.9</v>
      </c>
      <c r="AD286" s="7">
        <v>146.9</v>
      </c>
      <c r="AE286">
        <v>156.9</v>
      </c>
    </row>
    <row r="287" spans="1:31" x14ac:dyDescent="0.3">
      <c r="A287" t="s">
        <v>34</v>
      </c>
      <c r="B287">
        <v>2020</v>
      </c>
      <c r="C287" t="s">
        <v>46</v>
      </c>
      <c r="D287" s="10" t="str">
        <f xml:space="preserve"> _xlfn.CONCAT(Table1[[#This Row],[Month]],",",Table1[[#This Row],[Year]])</f>
        <v>December,2020</v>
      </c>
      <c r="E287">
        <v>146</v>
      </c>
      <c r="F287">
        <v>191</v>
      </c>
      <c r="G287">
        <v>175.3</v>
      </c>
      <c r="H287">
        <v>154.1</v>
      </c>
      <c r="I287">
        <v>146.6</v>
      </c>
      <c r="J287">
        <v>147.69999999999999</v>
      </c>
      <c r="K287">
        <v>230.5</v>
      </c>
      <c r="L287">
        <v>160.19999999999999</v>
      </c>
      <c r="M287">
        <v>115.3</v>
      </c>
      <c r="N287">
        <v>163</v>
      </c>
      <c r="O287">
        <v>149.19999999999999</v>
      </c>
      <c r="P287">
        <v>164.8</v>
      </c>
      <c r="Q287" s="3">
        <v>165.4</v>
      </c>
      <c r="R287" s="7">
        <v>185.4</v>
      </c>
      <c r="S287">
        <v>155</v>
      </c>
      <c r="T287">
        <v>145.4</v>
      </c>
      <c r="U287" s="5">
        <v>153.6</v>
      </c>
      <c r="V287" s="6">
        <v>158.4</v>
      </c>
      <c r="W287" s="4">
        <v>144.6</v>
      </c>
      <c r="X287">
        <v>149.69999999999999</v>
      </c>
      <c r="Y287">
        <v>158.30000000000001</v>
      </c>
      <c r="Z287">
        <v>140.69999999999999</v>
      </c>
      <c r="AA287">
        <v>148.5</v>
      </c>
      <c r="AB287">
        <v>159.4</v>
      </c>
      <c r="AC287">
        <v>157.1</v>
      </c>
      <c r="AD287" s="7">
        <v>151.19999999999999</v>
      </c>
      <c r="AE287">
        <v>158.9</v>
      </c>
    </row>
    <row r="288" spans="1:31" x14ac:dyDescent="0.3">
      <c r="A288" t="s">
        <v>30</v>
      </c>
      <c r="B288">
        <v>2021</v>
      </c>
      <c r="C288" t="s">
        <v>31</v>
      </c>
      <c r="D288" s="10" t="str">
        <f xml:space="preserve"> _xlfn.CONCAT(Table1[[#This Row],[Month]],",",Table1[[#This Row],[Year]])</f>
        <v>January,2021</v>
      </c>
      <c r="E288">
        <v>143.4</v>
      </c>
      <c r="F288">
        <v>187.5</v>
      </c>
      <c r="G288">
        <v>173.4</v>
      </c>
      <c r="H288">
        <v>154</v>
      </c>
      <c r="I288">
        <v>154.80000000000001</v>
      </c>
      <c r="J288">
        <v>147</v>
      </c>
      <c r="K288">
        <v>187.8</v>
      </c>
      <c r="L288">
        <v>159.5</v>
      </c>
      <c r="M288">
        <v>113.8</v>
      </c>
      <c r="N288">
        <v>164.5</v>
      </c>
      <c r="O288">
        <v>156.1</v>
      </c>
      <c r="P288">
        <v>164.3</v>
      </c>
      <c r="Q288" s="3">
        <v>159.6</v>
      </c>
      <c r="R288" s="7">
        <v>184.6</v>
      </c>
      <c r="S288">
        <v>157.5</v>
      </c>
      <c r="T288">
        <v>152.4</v>
      </c>
      <c r="U288" s="5">
        <v>156.80000000000001</v>
      </c>
      <c r="V288" s="6" t="s">
        <v>32</v>
      </c>
      <c r="W288" s="4">
        <v>150.9</v>
      </c>
      <c r="X288">
        <v>153.9</v>
      </c>
      <c r="Y288">
        <v>162.5</v>
      </c>
      <c r="Z288">
        <v>147.5</v>
      </c>
      <c r="AA288">
        <v>155.1</v>
      </c>
      <c r="AB288">
        <v>163.5</v>
      </c>
      <c r="AC288">
        <v>156.19999999999999</v>
      </c>
      <c r="AD288" s="7">
        <v>155.9</v>
      </c>
      <c r="AE288">
        <v>158.5</v>
      </c>
    </row>
    <row r="289" spans="1:31" x14ac:dyDescent="0.3">
      <c r="A289" t="s">
        <v>33</v>
      </c>
      <c r="B289">
        <v>2021</v>
      </c>
      <c r="C289" t="s">
        <v>31</v>
      </c>
      <c r="D289" s="10" t="str">
        <f xml:space="preserve"> _xlfn.CONCAT(Table1[[#This Row],[Month]],",",Table1[[#This Row],[Year]])</f>
        <v>January,2021</v>
      </c>
      <c r="E289">
        <v>148</v>
      </c>
      <c r="F289">
        <v>194.8</v>
      </c>
      <c r="G289">
        <v>178.4</v>
      </c>
      <c r="H289">
        <v>154.4</v>
      </c>
      <c r="I289">
        <v>144.1</v>
      </c>
      <c r="J289">
        <v>152.6</v>
      </c>
      <c r="K289">
        <v>206.8</v>
      </c>
      <c r="L289">
        <v>162.1</v>
      </c>
      <c r="M289">
        <v>116.3</v>
      </c>
      <c r="N289">
        <v>163</v>
      </c>
      <c r="O289">
        <v>145.9</v>
      </c>
      <c r="P289">
        <v>167.2</v>
      </c>
      <c r="Q289" s="3">
        <v>163.4</v>
      </c>
      <c r="R289" s="7">
        <v>191.8</v>
      </c>
      <c r="S289">
        <v>152.5</v>
      </c>
      <c r="T289">
        <v>137.30000000000001</v>
      </c>
      <c r="U289" s="5">
        <v>150.19999999999999</v>
      </c>
      <c r="V289" s="6">
        <v>157.69999999999999</v>
      </c>
      <c r="W289" s="4">
        <v>142.9</v>
      </c>
      <c r="X289">
        <v>145.69999999999999</v>
      </c>
      <c r="Y289">
        <v>154.1</v>
      </c>
      <c r="Z289">
        <v>136.9</v>
      </c>
      <c r="AA289">
        <v>145.4</v>
      </c>
      <c r="AB289">
        <v>156.1</v>
      </c>
      <c r="AC289">
        <v>157.69999999999999</v>
      </c>
      <c r="AD289" s="7">
        <v>147.6</v>
      </c>
      <c r="AE289">
        <v>156</v>
      </c>
    </row>
    <row r="290" spans="1:31" x14ac:dyDescent="0.3">
      <c r="A290" t="s">
        <v>34</v>
      </c>
      <c r="B290">
        <v>2021</v>
      </c>
      <c r="C290" t="s">
        <v>31</v>
      </c>
      <c r="D290" s="10" t="str">
        <f xml:space="preserve"> _xlfn.CONCAT(Table1[[#This Row],[Month]],",",Table1[[#This Row],[Year]])</f>
        <v>January,2021</v>
      </c>
      <c r="E290">
        <v>144.9</v>
      </c>
      <c r="F290">
        <v>190.1</v>
      </c>
      <c r="G290">
        <v>175.3</v>
      </c>
      <c r="H290">
        <v>154.1</v>
      </c>
      <c r="I290">
        <v>150.9</v>
      </c>
      <c r="J290">
        <v>149.6</v>
      </c>
      <c r="K290">
        <v>194.2</v>
      </c>
      <c r="L290">
        <v>160.4</v>
      </c>
      <c r="M290">
        <v>114.6</v>
      </c>
      <c r="N290">
        <v>164</v>
      </c>
      <c r="O290">
        <v>151.80000000000001</v>
      </c>
      <c r="P290">
        <v>165.6</v>
      </c>
      <c r="Q290" s="3">
        <v>161</v>
      </c>
      <c r="R290" s="7">
        <v>186.5</v>
      </c>
      <c r="S290">
        <v>155.5</v>
      </c>
      <c r="T290">
        <v>146.1</v>
      </c>
      <c r="U290" s="5">
        <v>154.19999999999999</v>
      </c>
      <c r="V290" s="6">
        <v>157.69999999999999</v>
      </c>
      <c r="W290" s="4">
        <v>147.9</v>
      </c>
      <c r="X290">
        <v>150</v>
      </c>
      <c r="Y290">
        <v>159.30000000000001</v>
      </c>
      <c r="Z290">
        <v>141.9</v>
      </c>
      <c r="AA290">
        <v>149.6</v>
      </c>
      <c r="AB290">
        <v>159.19999999999999</v>
      </c>
      <c r="AC290">
        <v>156.80000000000001</v>
      </c>
      <c r="AD290" s="7">
        <v>151.9</v>
      </c>
      <c r="AE290">
        <v>157.30000000000001</v>
      </c>
    </row>
    <row r="291" spans="1:31" x14ac:dyDescent="0.3">
      <c r="A291" t="s">
        <v>30</v>
      </c>
      <c r="B291">
        <v>2021</v>
      </c>
      <c r="C291" t="s">
        <v>35</v>
      </c>
      <c r="D291" s="10" t="str">
        <f xml:space="preserve"> _xlfn.CONCAT(Table1[[#This Row],[Month]],",",Table1[[#This Row],[Year]])</f>
        <v>February,2021</v>
      </c>
      <c r="E291">
        <v>142.80000000000001</v>
      </c>
      <c r="F291">
        <v>184</v>
      </c>
      <c r="G291">
        <v>168</v>
      </c>
      <c r="H291">
        <v>154.4</v>
      </c>
      <c r="I291">
        <v>163</v>
      </c>
      <c r="J291">
        <v>147.80000000000001</v>
      </c>
      <c r="K291">
        <v>149.69999999999999</v>
      </c>
      <c r="L291">
        <v>158.30000000000001</v>
      </c>
      <c r="M291">
        <v>111.8</v>
      </c>
      <c r="N291">
        <v>165</v>
      </c>
      <c r="O291">
        <v>160</v>
      </c>
      <c r="P291">
        <v>165.8</v>
      </c>
      <c r="Q291" s="3">
        <v>154.69999999999999</v>
      </c>
      <c r="R291" s="7">
        <v>186.5</v>
      </c>
      <c r="S291">
        <v>159.1</v>
      </c>
      <c r="T291">
        <v>153.9</v>
      </c>
      <c r="U291" s="5">
        <v>158.4</v>
      </c>
      <c r="V291" s="6" t="s">
        <v>32</v>
      </c>
      <c r="W291" s="4">
        <v>154.4</v>
      </c>
      <c r="X291">
        <v>154.80000000000001</v>
      </c>
      <c r="Y291">
        <v>164.3</v>
      </c>
      <c r="Z291">
        <v>150.19999999999999</v>
      </c>
      <c r="AA291">
        <v>157</v>
      </c>
      <c r="AB291">
        <v>163.6</v>
      </c>
      <c r="AC291">
        <v>155.19999999999999</v>
      </c>
      <c r="AD291" s="7">
        <v>157.19999999999999</v>
      </c>
      <c r="AE291">
        <v>156.69999999999999</v>
      </c>
    </row>
    <row r="292" spans="1:31" x14ac:dyDescent="0.3">
      <c r="A292" t="s">
        <v>33</v>
      </c>
      <c r="B292">
        <v>2021</v>
      </c>
      <c r="C292" t="s">
        <v>35</v>
      </c>
      <c r="D292" s="10" t="str">
        <f xml:space="preserve"> _xlfn.CONCAT(Table1[[#This Row],[Month]],",",Table1[[#This Row],[Year]])</f>
        <v>February,2021</v>
      </c>
      <c r="E292">
        <v>147.6</v>
      </c>
      <c r="F292">
        <v>191.2</v>
      </c>
      <c r="G292">
        <v>169.9</v>
      </c>
      <c r="H292">
        <v>155.1</v>
      </c>
      <c r="I292">
        <v>151.4</v>
      </c>
      <c r="J292">
        <v>154</v>
      </c>
      <c r="K292">
        <v>180.2</v>
      </c>
      <c r="L292">
        <v>159.80000000000001</v>
      </c>
      <c r="M292">
        <v>114.9</v>
      </c>
      <c r="N292">
        <v>162.5</v>
      </c>
      <c r="O292">
        <v>149.19999999999999</v>
      </c>
      <c r="P292">
        <v>169.4</v>
      </c>
      <c r="Q292" s="3">
        <v>160.80000000000001</v>
      </c>
      <c r="R292" s="7">
        <v>193.3</v>
      </c>
      <c r="S292">
        <v>154.19999999999999</v>
      </c>
      <c r="T292">
        <v>138.19999999999999</v>
      </c>
      <c r="U292" s="5">
        <v>151.80000000000001</v>
      </c>
      <c r="V292" s="6">
        <v>159.80000000000001</v>
      </c>
      <c r="W292" s="4">
        <v>149.1</v>
      </c>
      <c r="X292">
        <v>146.5</v>
      </c>
      <c r="Y292">
        <v>156.30000000000001</v>
      </c>
      <c r="Z292">
        <v>140.5</v>
      </c>
      <c r="AA292">
        <v>147.30000000000001</v>
      </c>
      <c r="AB292">
        <v>156.6</v>
      </c>
      <c r="AC292">
        <v>156.69999999999999</v>
      </c>
      <c r="AD292" s="7">
        <v>149.30000000000001</v>
      </c>
      <c r="AE292">
        <v>156.5</v>
      </c>
    </row>
    <row r="293" spans="1:31" x14ac:dyDescent="0.3">
      <c r="A293" t="s">
        <v>34</v>
      </c>
      <c r="B293">
        <v>2021</v>
      </c>
      <c r="C293" t="s">
        <v>35</v>
      </c>
      <c r="D293" s="10" t="str">
        <f xml:space="preserve"> _xlfn.CONCAT(Table1[[#This Row],[Month]],",",Table1[[#This Row],[Year]])</f>
        <v>February,2021</v>
      </c>
      <c r="E293">
        <v>144.30000000000001</v>
      </c>
      <c r="F293">
        <v>186.5</v>
      </c>
      <c r="G293">
        <v>168.7</v>
      </c>
      <c r="H293">
        <v>154.69999999999999</v>
      </c>
      <c r="I293">
        <v>158.69999999999999</v>
      </c>
      <c r="J293">
        <v>150.69999999999999</v>
      </c>
      <c r="K293">
        <v>160</v>
      </c>
      <c r="L293">
        <v>158.80000000000001</v>
      </c>
      <c r="M293">
        <v>112.8</v>
      </c>
      <c r="N293">
        <v>164.2</v>
      </c>
      <c r="O293">
        <v>155.5</v>
      </c>
      <c r="P293">
        <v>167.5</v>
      </c>
      <c r="Q293" s="3">
        <v>156.9</v>
      </c>
      <c r="R293" s="7">
        <v>188.3</v>
      </c>
      <c r="S293">
        <v>157.19999999999999</v>
      </c>
      <c r="T293">
        <v>147.4</v>
      </c>
      <c r="U293" s="5">
        <v>155.80000000000001</v>
      </c>
      <c r="V293" s="6">
        <v>159.80000000000001</v>
      </c>
      <c r="W293" s="4">
        <v>152.4</v>
      </c>
      <c r="X293">
        <v>150.9</v>
      </c>
      <c r="Y293">
        <v>161.30000000000001</v>
      </c>
      <c r="Z293">
        <v>145.1</v>
      </c>
      <c r="AA293">
        <v>151.5</v>
      </c>
      <c r="AB293">
        <v>159.5</v>
      </c>
      <c r="AC293">
        <v>155.80000000000001</v>
      </c>
      <c r="AD293" s="7">
        <v>153.4</v>
      </c>
      <c r="AE293">
        <v>156.6</v>
      </c>
    </row>
    <row r="294" spans="1:31" x14ac:dyDescent="0.3">
      <c r="A294" t="s">
        <v>30</v>
      </c>
      <c r="B294">
        <v>2021</v>
      </c>
      <c r="C294" t="s">
        <v>36</v>
      </c>
      <c r="D294" s="10" t="str">
        <f xml:space="preserve"> _xlfn.CONCAT(Table1[[#This Row],[Month]],",",Table1[[#This Row],[Year]])</f>
        <v>March,2021</v>
      </c>
      <c r="E294">
        <v>142.5</v>
      </c>
      <c r="F294">
        <v>189.4</v>
      </c>
      <c r="G294">
        <v>163.19999999999999</v>
      </c>
      <c r="H294">
        <v>154.5</v>
      </c>
      <c r="I294">
        <v>168.2</v>
      </c>
      <c r="J294">
        <v>150.5</v>
      </c>
      <c r="K294">
        <v>141</v>
      </c>
      <c r="L294">
        <v>159.19999999999999</v>
      </c>
      <c r="M294">
        <v>111.7</v>
      </c>
      <c r="N294">
        <v>164</v>
      </c>
      <c r="O294">
        <v>160.6</v>
      </c>
      <c r="P294">
        <v>166.4</v>
      </c>
      <c r="Q294" s="3">
        <v>154.5</v>
      </c>
      <c r="R294" s="7">
        <v>186.1</v>
      </c>
      <c r="S294">
        <v>159.6</v>
      </c>
      <c r="T294">
        <v>154.4</v>
      </c>
      <c r="U294" s="5">
        <v>158.9</v>
      </c>
      <c r="V294" s="6" t="s">
        <v>32</v>
      </c>
      <c r="W294" s="4">
        <v>156</v>
      </c>
      <c r="X294">
        <v>154.80000000000001</v>
      </c>
      <c r="Y294">
        <v>164.6</v>
      </c>
      <c r="Z294">
        <v>151.30000000000001</v>
      </c>
      <c r="AA294">
        <v>157.80000000000001</v>
      </c>
      <c r="AB294">
        <v>163.80000000000001</v>
      </c>
      <c r="AC294">
        <v>153.1</v>
      </c>
      <c r="AD294" s="7">
        <v>157.30000000000001</v>
      </c>
      <c r="AE294">
        <v>156.69999999999999</v>
      </c>
    </row>
    <row r="295" spans="1:31" x14ac:dyDescent="0.3">
      <c r="A295" t="s">
        <v>33</v>
      </c>
      <c r="B295">
        <v>2021</v>
      </c>
      <c r="C295" t="s">
        <v>36</v>
      </c>
      <c r="D295" s="10" t="str">
        <f xml:space="preserve"> _xlfn.CONCAT(Table1[[#This Row],[Month]],",",Table1[[#This Row],[Year]])</f>
        <v>March,2021</v>
      </c>
      <c r="E295">
        <v>147.5</v>
      </c>
      <c r="F295">
        <v>197.5</v>
      </c>
      <c r="G295">
        <v>164.7</v>
      </c>
      <c r="H295">
        <v>155.6</v>
      </c>
      <c r="I295">
        <v>156.4</v>
      </c>
      <c r="J295">
        <v>157.30000000000001</v>
      </c>
      <c r="K295">
        <v>166.1</v>
      </c>
      <c r="L295">
        <v>161.1</v>
      </c>
      <c r="M295">
        <v>114.3</v>
      </c>
      <c r="N295">
        <v>162.6</v>
      </c>
      <c r="O295">
        <v>150.69999999999999</v>
      </c>
      <c r="P295">
        <v>170.3</v>
      </c>
      <c r="Q295" s="3">
        <v>160.4</v>
      </c>
      <c r="R295" s="7">
        <v>193.5</v>
      </c>
      <c r="S295">
        <v>155.1</v>
      </c>
      <c r="T295">
        <v>138.69999999999999</v>
      </c>
      <c r="U295" s="5">
        <v>152.6</v>
      </c>
      <c r="V295" s="6">
        <v>159.9</v>
      </c>
      <c r="W295" s="4">
        <v>154.80000000000001</v>
      </c>
      <c r="X295">
        <v>147.19999999999999</v>
      </c>
      <c r="Y295">
        <v>156.9</v>
      </c>
      <c r="Z295">
        <v>141.69999999999999</v>
      </c>
      <c r="AA295">
        <v>148.6</v>
      </c>
      <c r="AB295">
        <v>157.6</v>
      </c>
      <c r="AC295">
        <v>154.9</v>
      </c>
      <c r="AD295" s="7">
        <v>150</v>
      </c>
      <c r="AE295">
        <v>156.9</v>
      </c>
    </row>
    <row r="296" spans="1:31" x14ac:dyDescent="0.3">
      <c r="A296" t="s">
        <v>34</v>
      </c>
      <c r="B296">
        <v>2021</v>
      </c>
      <c r="C296" t="s">
        <v>36</v>
      </c>
      <c r="D296" s="10" t="str">
        <f xml:space="preserve"> _xlfn.CONCAT(Table1[[#This Row],[Month]],",",Table1[[#This Row],[Year]])</f>
        <v>March,2021</v>
      </c>
      <c r="E296">
        <v>144.1</v>
      </c>
      <c r="F296">
        <v>192.2</v>
      </c>
      <c r="G296">
        <v>163.80000000000001</v>
      </c>
      <c r="H296">
        <v>154.9</v>
      </c>
      <c r="I296">
        <v>163.9</v>
      </c>
      <c r="J296">
        <v>153.69999999999999</v>
      </c>
      <c r="K296">
        <v>149.5</v>
      </c>
      <c r="L296">
        <v>159.80000000000001</v>
      </c>
      <c r="M296">
        <v>112.6</v>
      </c>
      <c r="N296">
        <v>163.5</v>
      </c>
      <c r="O296">
        <v>156.5</v>
      </c>
      <c r="P296">
        <v>168.2</v>
      </c>
      <c r="Q296" s="3">
        <v>156.69999999999999</v>
      </c>
      <c r="R296" s="7">
        <v>188.1</v>
      </c>
      <c r="S296">
        <v>157.80000000000001</v>
      </c>
      <c r="T296">
        <v>147.9</v>
      </c>
      <c r="U296" s="5">
        <v>156.4</v>
      </c>
      <c r="V296" s="6">
        <v>159.9</v>
      </c>
      <c r="W296" s="4">
        <v>155.5</v>
      </c>
      <c r="X296">
        <v>151.19999999999999</v>
      </c>
      <c r="Y296">
        <v>161.69999999999999</v>
      </c>
      <c r="Z296">
        <v>146.19999999999999</v>
      </c>
      <c r="AA296">
        <v>152.6</v>
      </c>
      <c r="AB296">
        <v>160.19999999999999</v>
      </c>
      <c r="AC296">
        <v>153.80000000000001</v>
      </c>
      <c r="AD296" s="7">
        <v>153.80000000000001</v>
      </c>
      <c r="AE296">
        <v>156.80000000000001</v>
      </c>
    </row>
    <row r="297" spans="1:31" x14ac:dyDescent="0.3">
      <c r="A297" t="s">
        <v>30</v>
      </c>
      <c r="B297">
        <v>2021</v>
      </c>
      <c r="C297" t="s">
        <v>37</v>
      </c>
      <c r="D297" s="10" t="str">
        <f xml:space="preserve"> _xlfn.CONCAT(Table1[[#This Row],[Month]],",",Table1[[#This Row],[Year]])</f>
        <v>April,2021</v>
      </c>
      <c r="E297">
        <v>142.69999999999999</v>
      </c>
      <c r="F297">
        <v>195.5</v>
      </c>
      <c r="G297">
        <v>163.4</v>
      </c>
      <c r="H297">
        <v>155</v>
      </c>
      <c r="I297">
        <v>175.2</v>
      </c>
      <c r="J297">
        <v>160.6</v>
      </c>
      <c r="K297">
        <v>135.1</v>
      </c>
      <c r="L297">
        <v>161.1</v>
      </c>
      <c r="M297">
        <v>112.2</v>
      </c>
      <c r="N297">
        <v>164.4</v>
      </c>
      <c r="O297">
        <v>161.9</v>
      </c>
      <c r="P297">
        <v>166.8</v>
      </c>
      <c r="Q297" s="3">
        <v>155.6</v>
      </c>
      <c r="R297" s="7">
        <v>186.8</v>
      </c>
      <c r="S297">
        <v>160.69999999999999</v>
      </c>
      <c r="T297">
        <v>155.1</v>
      </c>
      <c r="U297" s="5">
        <v>159.9</v>
      </c>
      <c r="V297" s="6" t="s">
        <v>32</v>
      </c>
      <c r="W297" s="4">
        <v>156</v>
      </c>
      <c r="X297">
        <v>155.5</v>
      </c>
      <c r="Y297">
        <v>165.3</v>
      </c>
      <c r="Z297">
        <v>151.69999999999999</v>
      </c>
      <c r="AA297">
        <v>158.6</v>
      </c>
      <c r="AB297">
        <v>164.1</v>
      </c>
      <c r="AC297">
        <v>154.6</v>
      </c>
      <c r="AD297" s="7">
        <v>158</v>
      </c>
      <c r="AE297">
        <v>157.6</v>
      </c>
    </row>
    <row r="298" spans="1:31" x14ac:dyDescent="0.3">
      <c r="A298" t="s">
        <v>33</v>
      </c>
      <c r="B298">
        <v>2021</v>
      </c>
      <c r="C298" t="s">
        <v>37</v>
      </c>
      <c r="D298" s="10" t="str">
        <f xml:space="preserve"> _xlfn.CONCAT(Table1[[#This Row],[Month]],",",Table1[[#This Row],[Year]])</f>
        <v>April,2021</v>
      </c>
      <c r="E298">
        <v>147.6</v>
      </c>
      <c r="F298">
        <v>202.5</v>
      </c>
      <c r="G298">
        <v>166.4</v>
      </c>
      <c r="H298">
        <v>156</v>
      </c>
      <c r="I298">
        <v>161.4</v>
      </c>
      <c r="J298">
        <v>168.8</v>
      </c>
      <c r="K298">
        <v>161.6</v>
      </c>
      <c r="L298">
        <v>162.80000000000001</v>
      </c>
      <c r="M298">
        <v>114.8</v>
      </c>
      <c r="N298">
        <v>162.80000000000001</v>
      </c>
      <c r="O298">
        <v>151.5</v>
      </c>
      <c r="P298">
        <v>171.4</v>
      </c>
      <c r="Q298" s="3">
        <v>162</v>
      </c>
      <c r="R298" s="7">
        <v>194.4</v>
      </c>
      <c r="S298">
        <v>155.9</v>
      </c>
      <c r="T298">
        <v>139.30000000000001</v>
      </c>
      <c r="U298" s="5">
        <v>153.4</v>
      </c>
      <c r="V298" s="6">
        <v>161.4</v>
      </c>
      <c r="W298" s="4">
        <v>154.9</v>
      </c>
      <c r="X298">
        <v>147.6</v>
      </c>
      <c r="Y298">
        <v>157.5</v>
      </c>
      <c r="Z298">
        <v>142.1</v>
      </c>
      <c r="AA298">
        <v>149.1</v>
      </c>
      <c r="AB298">
        <v>157.6</v>
      </c>
      <c r="AC298">
        <v>156.6</v>
      </c>
      <c r="AD298" s="7">
        <v>150.5</v>
      </c>
      <c r="AE298">
        <v>158</v>
      </c>
    </row>
    <row r="299" spans="1:31" x14ac:dyDescent="0.3">
      <c r="A299" t="s">
        <v>34</v>
      </c>
      <c r="B299">
        <v>2021</v>
      </c>
      <c r="C299" t="s">
        <v>37</v>
      </c>
      <c r="D299" s="10" t="str">
        <f xml:space="preserve"> _xlfn.CONCAT(Table1[[#This Row],[Month]],",",Table1[[#This Row],[Year]])</f>
        <v>April,2021</v>
      </c>
      <c r="E299">
        <v>144.30000000000001</v>
      </c>
      <c r="F299">
        <v>198</v>
      </c>
      <c r="G299">
        <v>164.6</v>
      </c>
      <c r="H299">
        <v>155.4</v>
      </c>
      <c r="I299">
        <v>170.1</v>
      </c>
      <c r="J299">
        <v>164.4</v>
      </c>
      <c r="K299">
        <v>144.1</v>
      </c>
      <c r="L299">
        <v>161.69999999999999</v>
      </c>
      <c r="M299">
        <v>113.1</v>
      </c>
      <c r="N299">
        <v>163.9</v>
      </c>
      <c r="O299">
        <v>157.6</v>
      </c>
      <c r="P299">
        <v>168.9</v>
      </c>
      <c r="Q299" s="3">
        <v>158</v>
      </c>
      <c r="R299" s="7">
        <v>188.8</v>
      </c>
      <c r="S299">
        <v>158.80000000000001</v>
      </c>
      <c r="T299">
        <v>148.5</v>
      </c>
      <c r="U299" s="5">
        <v>157.30000000000001</v>
      </c>
      <c r="V299" s="6">
        <v>161.4</v>
      </c>
      <c r="W299" s="4">
        <v>155.6</v>
      </c>
      <c r="X299">
        <v>151.80000000000001</v>
      </c>
      <c r="Y299">
        <v>162.30000000000001</v>
      </c>
      <c r="Z299">
        <v>146.6</v>
      </c>
      <c r="AA299">
        <v>153.19999999999999</v>
      </c>
      <c r="AB299">
        <v>160.30000000000001</v>
      </c>
      <c r="AC299">
        <v>155.4</v>
      </c>
      <c r="AD299" s="7">
        <v>154.4</v>
      </c>
      <c r="AE299">
        <v>157.80000000000001</v>
      </c>
    </row>
    <row r="300" spans="1:31" x14ac:dyDescent="0.3">
      <c r="A300" t="s">
        <v>30</v>
      </c>
      <c r="B300">
        <v>2021</v>
      </c>
      <c r="C300" t="s">
        <v>38</v>
      </c>
      <c r="D300" s="10" t="str">
        <f xml:space="preserve"> _xlfn.CONCAT(Table1[[#This Row],[Month]],",",Table1[[#This Row],[Year]])</f>
        <v>May,2021</v>
      </c>
      <c r="E300">
        <v>145.1</v>
      </c>
      <c r="F300">
        <v>198.5</v>
      </c>
      <c r="G300">
        <v>168.6</v>
      </c>
      <c r="H300">
        <v>155.80000000000001</v>
      </c>
      <c r="I300">
        <v>184.4</v>
      </c>
      <c r="J300">
        <v>162.30000000000001</v>
      </c>
      <c r="K300">
        <v>138.4</v>
      </c>
      <c r="L300">
        <v>165.1</v>
      </c>
      <c r="M300">
        <v>114.3</v>
      </c>
      <c r="N300">
        <v>169.7</v>
      </c>
      <c r="O300">
        <v>164.6</v>
      </c>
      <c r="P300">
        <v>169.8</v>
      </c>
      <c r="Q300" s="3">
        <v>158.69999999999999</v>
      </c>
      <c r="R300" s="7">
        <v>189.6</v>
      </c>
      <c r="S300">
        <v>165.3</v>
      </c>
      <c r="T300">
        <v>160.6</v>
      </c>
      <c r="U300" s="5">
        <v>164.5</v>
      </c>
      <c r="V300" s="6" t="s">
        <v>32</v>
      </c>
      <c r="W300" s="4">
        <v>161.69999999999999</v>
      </c>
      <c r="X300">
        <v>158.80000000000001</v>
      </c>
      <c r="Y300">
        <v>169.1</v>
      </c>
      <c r="Z300">
        <v>153.19999999999999</v>
      </c>
      <c r="AA300">
        <v>160</v>
      </c>
      <c r="AB300">
        <v>167.6</v>
      </c>
      <c r="AC300">
        <v>159.30000000000001</v>
      </c>
      <c r="AD300" s="7">
        <v>161.1</v>
      </c>
      <c r="AE300">
        <v>161.1</v>
      </c>
    </row>
    <row r="301" spans="1:31" x14ac:dyDescent="0.3">
      <c r="A301" t="s">
        <v>33</v>
      </c>
      <c r="B301">
        <v>2021</v>
      </c>
      <c r="C301" t="s">
        <v>38</v>
      </c>
      <c r="D301" s="10" t="str">
        <f xml:space="preserve"> _xlfn.CONCAT(Table1[[#This Row],[Month]],",",Table1[[#This Row],[Year]])</f>
        <v>May,2021</v>
      </c>
      <c r="E301">
        <v>148.80000000000001</v>
      </c>
      <c r="F301">
        <v>204.3</v>
      </c>
      <c r="G301">
        <v>173</v>
      </c>
      <c r="H301">
        <v>156.5</v>
      </c>
      <c r="I301">
        <v>168.8</v>
      </c>
      <c r="J301">
        <v>172.5</v>
      </c>
      <c r="K301">
        <v>166.5</v>
      </c>
      <c r="L301">
        <v>165.9</v>
      </c>
      <c r="M301">
        <v>115.9</v>
      </c>
      <c r="N301">
        <v>165.2</v>
      </c>
      <c r="O301">
        <v>152</v>
      </c>
      <c r="P301">
        <v>171.1</v>
      </c>
      <c r="Q301" s="3">
        <v>164.2</v>
      </c>
      <c r="R301" s="7">
        <v>198.2</v>
      </c>
      <c r="S301">
        <v>156.5</v>
      </c>
      <c r="T301">
        <v>140.19999999999999</v>
      </c>
      <c r="U301" s="5">
        <v>154.1</v>
      </c>
      <c r="V301" s="6">
        <v>161.6</v>
      </c>
      <c r="W301" s="4">
        <v>155.5</v>
      </c>
      <c r="X301">
        <v>150.1</v>
      </c>
      <c r="Y301">
        <v>160.4</v>
      </c>
      <c r="Z301">
        <v>145</v>
      </c>
      <c r="AA301">
        <v>152.6</v>
      </c>
      <c r="AB301">
        <v>156.6</v>
      </c>
      <c r="AC301">
        <v>157.5</v>
      </c>
      <c r="AD301" s="7">
        <v>152.30000000000001</v>
      </c>
      <c r="AE301">
        <v>159.5</v>
      </c>
    </row>
    <row r="302" spans="1:31" x14ac:dyDescent="0.3">
      <c r="A302" t="s">
        <v>34</v>
      </c>
      <c r="B302">
        <v>2021</v>
      </c>
      <c r="C302" t="s">
        <v>38</v>
      </c>
      <c r="D302" s="10" t="str">
        <f xml:space="preserve"> _xlfn.CONCAT(Table1[[#This Row],[Month]],",",Table1[[#This Row],[Year]])</f>
        <v>May,2021</v>
      </c>
      <c r="E302">
        <v>146.30000000000001</v>
      </c>
      <c r="F302">
        <v>200.5</v>
      </c>
      <c r="G302">
        <v>170.3</v>
      </c>
      <c r="H302">
        <v>156.1</v>
      </c>
      <c r="I302">
        <v>178.7</v>
      </c>
      <c r="J302">
        <v>167.1</v>
      </c>
      <c r="K302">
        <v>147.9</v>
      </c>
      <c r="L302">
        <v>165.4</v>
      </c>
      <c r="M302">
        <v>114.8</v>
      </c>
      <c r="N302">
        <v>168.2</v>
      </c>
      <c r="O302">
        <v>159.30000000000001</v>
      </c>
      <c r="P302">
        <v>170.4</v>
      </c>
      <c r="Q302" s="3">
        <v>160.69999999999999</v>
      </c>
      <c r="R302" s="7">
        <v>191.9</v>
      </c>
      <c r="S302">
        <v>161.80000000000001</v>
      </c>
      <c r="T302">
        <v>152.1</v>
      </c>
      <c r="U302" s="5">
        <v>160.4</v>
      </c>
      <c r="V302" s="6">
        <v>161.6</v>
      </c>
      <c r="W302" s="4">
        <v>159.4</v>
      </c>
      <c r="X302">
        <v>154.69999999999999</v>
      </c>
      <c r="Y302">
        <v>165.8</v>
      </c>
      <c r="Z302">
        <v>148.9</v>
      </c>
      <c r="AA302">
        <v>155.80000000000001</v>
      </c>
      <c r="AB302">
        <v>161.19999999999999</v>
      </c>
      <c r="AC302">
        <v>158.6</v>
      </c>
      <c r="AD302" s="7">
        <v>156.80000000000001</v>
      </c>
      <c r="AE302">
        <v>160.4</v>
      </c>
    </row>
    <row r="303" spans="1:31" x14ac:dyDescent="0.3">
      <c r="A303" t="s">
        <v>30</v>
      </c>
      <c r="B303">
        <v>2021</v>
      </c>
      <c r="C303" t="s">
        <v>39</v>
      </c>
      <c r="D303" s="10" t="str">
        <f xml:space="preserve"> _xlfn.CONCAT(Table1[[#This Row],[Month]],",",Table1[[#This Row],[Year]])</f>
        <v>June,2021</v>
      </c>
      <c r="E303">
        <v>145.6</v>
      </c>
      <c r="F303">
        <v>200.1</v>
      </c>
      <c r="G303">
        <v>179.3</v>
      </c>
      <c r="H303">
        <v>156.1</v>
      </c>
      <c r="I303">
        <v>190.4</v>
      </c>
      <c r="J303">
        <v>158.6</v>
      </c>
      <c r="K303">
        <v>144.69999999999999</v>
      </c>
      <c r="L303">
        <v>165.5</v>
      </c>
      <c r="M303">
        <v>114.6</v>
      </c>
      <c r="N303">
        <v>170</v>
      </c>
      <c r="O303">
        <v>165.5</v>
      </c>
      <c r="P303">
        <v>171.7</v>
      </c>
      <c r="Q303" s="3">
        <v>160.5</v>
      </c>
      <c r="R303" s="7">
        <v>189.1</v>
      </c>
      <c r="S303">
        <v>165.3</v>
      </c>
      <c r="T303">
        <v>159.9</v>
      </c>
      <c r="U303" s="5">
        <v>164.6</v>
      </c>
      <c r="V303" s="6" t="s">
        <v>32</v>
      </c>
      <c r="W303" s="4">
        <v>162.1</v>
      </c>
      <c r="X303">
        <v>159.19999999999999</v>
      </c>
      <c r="Y303">
        <v>169.7</v>
      </c>
      <c r="Z303">
        <v>154.19999999999999</v>
      </c>
      <c r="AA303">
        <v>160.4</v>
      </c>
      <c r="AB303">
        <v>166.8</v>
      </c>
      <c r="AC303">
        <v>159.4</v>
      </c>
      <c r="AD303" s="7">
        <v>161.5</v>
      </c>
      <c r="AE303">
        <v>162.1</v>
      </c>
    </row>
    <row r="304" spans="1:31" x14ac:dyDescent="0.3">
      <c r="A304" t="s">
        <v>33</v>
      </c>
      <c r="B304">
        <v>2021</v>
      </c>
      <c r="C304" t="s">
        <v>39</v>
      </c>
      <c r="D304" s="10" t="str">
        <f xml:space="preserve"> _xlfn.CONCAT(Table1[[#This Row],[Month]],",",Table1[[#This Row],[Year]])</f>
        <v>June,2021</v>
      </c>
      <c r="E304">
        <v>149.19999999999999</v>
      </c>
      <c r="F304">
        <v>205.5</v>
      </c>
      <c r="G304">
        <v>182.8</v>
      </c>
      <c r="H304">
        <v>156.5</v>
      </c>
      <c r="I304">
        <v>172.2</v>
      </c>
      <c r="J304">
        <v>171.5</v>
      </c>
      <c r="K304">
        <v>176.2</v>
      </c>
      <c r="L304">
        <v>166.9</v>
      </c>
      <c r="M304">
        <v>116.1</v>
      </c>
      <c r="N304">
        <v>165.5</v>
      </c>
      <c r="O304">
        <v>152.30000000000001</v>
      </c>
      <c r="P304">
        <v>173.3</v>
      </c>
      <c r="Q304" s="3">
        <v>166.2</v>
      </c>
      <c r="R304" s="7">
        <v>195.6</v>
      </c>
      <c r="S304">
        <v>157.30000000000001</v>
      </c>
      <c r="T304">
        <v>140.5</v>
      </c>
      <c r="U304" s="5">
        <v>154.80000000000001</v>
      </c>
      <c r="V304" s="6">
        <v>160.5</v>
      </c>
      <c r="W304" s="4">
        <v>156.1</v>
      </c>
      <c r="X304">
        <v>149.80000000000001</v>
      </c>
      <c r="Y304">
        <v>160.80000000000001</v>
      </c>
      <c r="Z304">
        <v>147.5</v>
      </c>
      <c r="AA304">
        <v>150.69999999999999</v>
      </c>
      <c r="AB304">
        <v>158.1</v>
      </c>
      <c r="AC304">
        <v>158</v>
      </c>
      <c r="AD304" s="7">
        <v>153.4</v>
      </c>
      <c r="AE304">
        <v>160.4</v>
      </c>
    </row>
    <row r="305" spans="1:31" x14ac:dyDescent="0.3">
      <c r="A305" t="s">
        <v>34</v>
      </c>
      <c r="B305">
        <v>2021</v>
      </c>
      <c r="C305" t="s">
        <v>39</v>
      </c>
      <c r="D305" s="10" t="str">
        <f xml:space="preserve"> _xlfn.CONCAT(Table1[[#This Row],[Month]],",",Table1[[#This Row],[Year]])</f>
        <v>June,2021</v>
      </c>
      <c r="E305">
        <v>146.69999999999999</v>
      </c>
      <c r="F305">
        <v>202</v>
      </c>
      <c r="G305">
        <v>180.7</v>
      </c>
      <c r="H305">
        <v>156.19999999999999</v>
      </c>
      <c r="I305">
        <v>183.7</v>
      </c>
      <c r="J305">
        <v>164.6</v>
      </c>
      <c r="K305">
        <v>155.4</v>
      </c>
      <c r="L305">
        <v>166</v>
      </c>
      <c r="M305">
        <v>115.1</v>
      </c>
      <c r="N305">
        <v>168.5</v>
      </c>
      <c r="O305">
        <v>160</v>
      </c>
      <c r="P305">
        <v>172.4</v>
      </c>
      <c r="Q305" s="3">
        <v>162.6</v>
      </c>
      <c r="R305" s="7">
        <v>190.8</v>
      </c>
      <c r="S305">
        <v>162.19999999999999</v>
      </c>
      <c r="T305">
        <v>151.80000000000001</v>
      </c>
      <c r="U305" s="5">
        <v>160.69999999999999</v>
      </c>
      <c r="V305" s="6">
        <v>160.5</v>
      </c>
      <c r="W305" s="4">
        <v>159.80000000000001</v>
      </c>
      <c r="X305">
        <v>154.80000000000001</v>
      </c>
      <c r="Y305">
        <v>166.3</v>
      </c>
      <c r="Z305">
        <v>150.69999999999999</v>
      </c>
      <c r="AA305">
        <v>154.9</v>
      </c>
      <c r="AB305">
        <v>161.69999999999999</v>
      </c>
      <c r="AC305">
        <v>158.80000000000001</v>
      </c>
      <c r="AD305" s="7">
        <v>157.6</v>
      </c>
      <c r="AE305">
        <v>161.30000000000001</v>
      </c>
    </row>
    <row r="306" spans="1:31" x14ac:dyDescent="0.3">
      <c r="A306" t="s">
        <v>30</v>
      </c>
      <c r="B306">
        <v>2021</v>
      </c>
      <c r="C306" t="s">
        <v>40</v>
      </c>
      <c r="D306" s="10" t="str">
        <f xml:space="preserve"> _xlfn.CONCAT(Table1[[#This Row],[Month]],",",Table1[[#This Row],[Year]])</f>
        <v>July,2021</v>
      </c>
      <c r="E306">
        <v>145.1</v>
      </c>
      <c r="F306">
        <v>204.5</v>
      </c>
      <c r="G306">
        <v>180.4</v>
      </c>
      <c r="H306">
        <v>157.1</v>
      </c>
      <c r="I306">
        <v>188.7</v>
      </c>
      <c r="J306">
        <v>157.69999999999999</v>
      </c>
      <c r="K306">
        <v>152.80000000000001</v>
      </c>
      <c r="L306">
        <v>163.6</v>
      </c>
      <c r="M306">
        <v>113.9</v>
      </c>
      <c r="N306">
        <v>169.7</v>
      </c>
      <c r="O306">
        <v>166.2</v>
      </c>
      <c r="P306">
        <v>171</v>
      </c>
      <c r="Q306" s="3">
        <v>161.69999999999999</v>
      </c>
      <c r="R306" s="7">
        <v>189.7</v>
      </c>
      <c r="S306">
        <v>166</v>
      </c>
      <c r="T306">
        <v>161.1</v>
      </c>
      <c r="U306" s="5">
        <v>165.3</v>
      </c>
      <c r="V306" s="6" t="s">
        <v>32</v>
      </c>
      <c r="W306" s="4">
        <v>162.5</v>
      </c>
      <c r="X306">
        <v>160.30000000000001</v>
      </c>
      <c r="Y306">
        <v>170.4</v>
      </c>
      <c r="Z306">
        <v>157.1</v>
      </c>
      <c r="AA306">
        <v>160.69999999999999</v>
      </c>
      <c r="AB306">
        <v>167.2</v>
      </c>
      <c r="AC306">
        <v>160.4</v>
      </c>
      <c r="AD306" s="7">
        <v>162.80000000000001</v>
      </c>
      <c r="AE306">
        <v>163.19999999999999</v>
      </c>
    </row>
    <row r="307" spans="1:31" x14ac:dyDescent="0.3">
      <c r="A307" t="s">
        <v>33</v>
      </c>
      <c r="B307">
        <v>2021</v>
      </c>
      <c r="C307" t="s">
        <v>40</v>
      </c>
      <c r="D307" s="10" t="str">
        <f xml:space="preserve"> _xlfn.CONCAT(Table1[[#This Row],[Month]],",",Table1[[#This Row],[Year]])</f>
        <v>July,2021</v>
      </c>
      <c r="E307">
        <v>149.1</v>
      </c>
      <c r="F307">
        <v>210.9</v>
      </c>
      <c r="G307">
        <v>185</v>
      </c>
      <c r="H307">
        <v>158.19999999999999</v>
      </c>
      <c r="I307">
        <v>170.6</v>
      </c>
      <c r="J307">
        <v>170.9</v>
      </c>
      <c r="K307">
        <v>186.4</v>
      </c>
      <c r="L307">
        <v>164.7</v>
      </c>
      <c r="M307">
        <v>115.7</v>
      </c>
      <c r="N307">
        <v>165.5</v>
      </c>
      <c r="O307">
        <v>153.4</v>
      </c>
      <c r="P307">
        <v>173.5</v>
      </c>
      <c r="Q307" s="3">
        <v>167.9</v>
      </c>
      <c r="R307" s="7">
        <v>195.5</v>
      </c>
      <c r="S307">
        <v>157.9</v>
      </c>
      <c r="T307">
        <v>141.9</v>
      </c>
      <c r="U307" s="5">
        <v>155.5</v>
      </c>
      <c r="V307" s="6">
        <v>161.5</v>
      </c>
      <c r="W307" s="4">
        <v>157.69999999999999</v>
      </c>
      <c r="X307">
        <v>150.69999999999999</v>
      </c>
      <c r="Y307">
        <v>161.5</v>
      </c>
      <c r="Z307">
        <v>149.5</v>
      </c>
      <c r="AA307">
        <v>151.19999999999999</v>
      </c>
      <c r="AB307">
        <v>160.30000000000001</v>
      </c>
      <c r="AC307">
        <v>159.6</v>
      </c>
      <c r="AD307" s="7">
        <v>155</v>
      </c>
      <c r="AE307">
        <v>161.80000000000001</v>
      </c>
    </row>
    <row r="308" spans="1:31" x14ac:dyDescent="0.3">
      <c r="A308" t="s">
        <v>34</v>
      </c>
      <c r="B308">
        <v>2021</v>
      </c>
      <c r="C308" t="s">
        <v>40</v>
      </c>
      <c r="D308" s="10" t="str">
        <f xml:space="preserve"> _xlfn.CONCAT(Table1[[#This Row],[Month]],",",Table1[[#This Row],[Year]])</f>
        <v>July,2021</v>
      </c>
      <c r="E308">
        <v>146.4</v>
      </c>
      <c r="F308">
        <v>206.8</v>
      </c>
      <c r="G308">
        <v>182.2</v>
      </c>
      <c r="H308">
        <v>157.5</v>
      </c>
      <c r="I308">
        <v>182.1</v>
      </c>
      <c r="J308">
        <v>163.9</v>
      </c>
      <c r="K308">
        <v>164.2</v>
      </c>
      <c r="L308">
        <v>164</v>
      </c>
      <c r="M308">
        <v>114.5</v>
      </c>
      <c r="N308">
        <v>168.3</v>
      </c>
      <c r="O308">
        <v>160.9</v>
      </c>
      <c r="P308">
        <v>172.2</v>
      </c>
      <c r="Q308" s="3">
        <v>164</v>
      </c>
      <c r="R308" s="7">
        <v>191.2</v>
      </c>
      <c r="S308">
        <v>162.80000000000001</v>
      </c>
      <c r="T308">
        <v>153.1</v>
      </c>
      <c r="U308" s="5">
        <v>161.4</v>
      </c>
      <c r="V308" s="6">
        <v>161.5</v>
      </c>
      <c r="W308" s="4">
        <v>160.69999999999999</v>
      </c>
      <c r="X308">
        <v>155.80000000000001</v>
      </c>
      <c r="Y308">
        <v>167</v>
      </c>
      <c r="Z308">
        <v>153.1</v>
      </c>
      <c r="AA308">
        <v>155.30000000000001</v>
      </c>
      <c r="AB308">
        <v>163.19999999999999</v>
      </c>
      <c r="AC308">
        <v>160.1</v>
      </c>
      <c r="AD308" s="7">
        <v>159</v>
      </c>
      <c r="AE308">
        <v>162.5</v>
      </c>
    </row>
    <row r="309" spans="1:31" x14ac:dyDescent="0.3">
      <c r="A309" t="s">
        <v>30</v>
      </c>
      <c r="B309">
        <v>2021</v>
      </c>
      <c r="C309" t="s">
        <v>41</v>
      </c>
      <c r="D309" s="10" t="str">
        <f xml:space="preserve"> _xlfn.CONCAT(Table1[[#This Row],[Month]],",",Table1[[#This Row],[Year]])</f>
        <v>August,2021</v>
      </c>
      <c r="E309">
        <v>144.9</v>
      </c>
      <c r="F309">
        <v>202.3</v>
      </c>
      <c r="G309">
        <v>176.5</v>
      </c>
      <c r="H309">
        <v>157.5</v>
      </c>
      <c r="I309">
        <v>190.9</v>
      </c>
      <c r="J309">
        <v>155.69999999999999</v>
      </c>
      <c r="K309">
        <v>153.9</v>
      </c>
      <c r="L309">
        <v>162.80000000000001</v>
      </c>
      <c r="M309">
        <v>115.2</v>
      </c>
      <c r="N309">
        <v>169.8</v>
      </c>
      <c r="O309">
        <v>167.6</v>
      </c>
      <c r="P309">
        <v>171.9</v>
      </c>
      <c r="Q309" s="3">
        <v>161.80000000000001</v>
      </c>
      <c r="R309" s="7">
        <v>190.2</v>
      </c>
      <c r="S309">
        <v>167</v>
      </c>
      <c r="T309">
        <v>162.6</v>
      </c>
      <c r="U309" s="5">
        <v>166.3</v>
      </c>
      <c r="V309" s="6" t="s">
        <v>32</v>
      </c>
      <c r="W309" s="4">
        <v>163.1</v>
      </c>
      <c r="X309">
        <v>160.9</v>
      </c>
      <c r="Y309">
        <v>171.1</v>
      </c>
      <c r="Z309">
        <v>157.69999999999999</v>
      </c>
      <c r="AA309">
        <v>161.1</v>
      </c>
      <c r="AB309">
        <v>167.5</v>
      </c>
      <c r="AC309">
        <v>160.30000000000001</v>
      </c>
      <c r="AD309" s="7">
        <v>163.30000000000001</v>
      </c>
      <c r="AE309">
        <v>163.6</v>
      </c>
    </row>
    <row r="310" spans="1:31" x14ac:dyDescent="0.3">
      <c r="A310" t="s">
        <v>33</v>
      </c>
      <c r="B310">
        <v>2021</v>
      </c>
      <c r="C310" t="s">
        <v>41</v>
      </c>
      <c r="D310" s="10" t="str">
        <f xml:space="preserve"> _xlfn.CONCAT(Table1[[#This Row],[Month]],",",Table1[[#This Row],[Year]])</f>
        <v>August,2021</v>
      </c>
      <c r="E310">
        <v>149.30000000000001</v>
      </c>
      <c r="F310">
        <v>207.4</v>
      </c>
      <c r="G310">
        <v>174.1</v>
      </c>
      <c r="H310">
        <v>159.19999999999999</v>
      </c>
      <c r="I310">
        <v>175</v>
      </c>
      <c r="J310">
        <v>161.30000000000001</v>
      </c>
      <c r="K310">
        <v>183.3</v>
      </c>
      <c r="L310">
        <v>164.5</v>
      </c>
      <c r="M310">
        <v>120.4</v>
      </c>
      <c r="N310">
        <v>166.2</v>
      </c>
      <c r="O310">
        <v>154.80000000000001</v>
      </c>
      <c r="P310">
        <v>175.1</v>
      </c>
      <c r="Q310" s="3">
        <v>167.3</v>
      </c>
      <c r="R310" s="7">
        <v>196.5</v>
      </c>
      <c r="S310">
        <v>159.80000000000001</v>
      </c>
      <c r="T310">
        <v>143.6</v>
      </c>
      <c r="U310" s="5">
        <v>157.30000000000001</v>
      </c>
      <c r="V310" s="6">
        <v>162.1</v>
      </c>
      <c r="W310" s="4">
        <v>160.69999999999999</v>
      </c>
      <c r="X310">
        <v>153.19999999999999</v>
      </c>
      <c r="Y310">
        <v>162.80000000000001</v>
      </c>
      <c r="Z310">
        <v>150.4</v>
      </c>
      <c r="AA310">
        <v>153.69999999999999</v>
      </c>
      <c r="AB310">
        <v>160.4</v>
      </c>
      <c r="AC310">
        <v>159.6</v>
      </c>
      <c r="AD310" s="7">
        <v>156</v>
      </c>
      <c r="AE310">
        <v>162.30000000000001</v>
      </c>
    </row>
    <row r="311" spans="1:31" x14ac:dyDescent="0.3">
      <c r="A311" t="s">
        <v>34</v>
      </c>
      <c r="B311">
        <v>2021</v>
      </c>
      <c r="C311" t="s">
        <v>41</v>
      </c>
      <c r="D311" s="10" t="str">
        <f xml:space="preserve"> _xlfn.CONCAT(Table1[[#This Row],[Month]],",",Table1[[#This Row],[Year]])</f>
        <v>August,2021</v>
      </c>
      <c r="E311">
        <v>146.6</v>
      </c>
      <c r="F311">
        <v>204</v>
      </c>
      <c r="G311">
        <v>172.8</v>
      </c>
      <c r="H311">
        <v>158.4</v>
      </c>
      <c r="I311">
        <v>188</v>
      </c>
      <c r="J311">
        <v>156.80000000000001</v>
      </c>
      <c r="K311">
        <v>162.19999999999999</v>
      </c>
      <c r="L311">
        <v>164.1</v>
      </c>
      <c r="M311">
        <v>119.7</v>
      </c>
      <c r="N311">
        <v>168.8</v>
      </c>
      <c r="O311">
        <v>162.69999999999999</v>
      </c>
      <c r="P311">
        <v>173.9</v>
      </c>
      <c r="Q311" s="3">
        <v>164</v>
      </c>
      <c r="R311" s="7">
        <v>192.1</v>
      </c>
      <c r="S311">
        <v>164.5</v>
      </c>
      <c r="T311">
        <v>155.30000000000001</v>
      </c>
      <c r="U311" s="5">
        <v>163.19999999999999</v>
      </c>
      <c r="V311" s="6">
        <v>162.1</v>
      </c>
      <c r="W311" s="4">
        <v>162.6</v>
      </c>
      <c r="X311">
        <v>157.5</v>
      </c>
      <c r="Y311">
        <v>168.4</v>
      </c>
      <c r="Z311">
        <v>154</v>
      </c>
      <c r="AA311">
        <v>157.6</v>
      </c>
      <c r="AB311">
        <v>163.80000000000001</v>
      </c>
      <c r="AC311">
        <v>160</v>
      </c>
      <c r="AD311" s="7">
        <v>160</v>
      </c>
      <c r="AE311">
        <v>163.19999999999999</v>
      </c>
    </row>
    <row r="312" spans="1:31" x14ac:dyDescent="0.3">
      <c r="A312" t="s">
        <v>30</v>
      </c>
      <c r="B312">
        <v>2021</v>
      </c>
      <c r="C312" t="s">
        <v>42</v>
      </c>
      <c r="D312" s="10" t="str">
        <f xml:space="preserve"> _xlfn.CONCAT(Table1[[#This Row],[Month]],",",Table1[[#This Row],[Year]])</f>
        <v>September,2021</v>
      </c>
      <c r="E312">
        <v>145.4</v>
      </c>
      <c r="F312">
        <v>202.1</v>
      </c>
      <c r="G312">
        <v>172</v>
      </c>
      <c r="H312">
        <v>158</v>
      </c>
      <c r="I312">
        <v>195.5</v>
      </c>
      <c r="J312">
        <v>152.69999999999999</v>
      </c>
      <c r="K312">
        <v>151.4</v>
      </c>
      <c r="L312">
        <v>163.9</v>
      </c>
      <c r="M312">
        <v>119.3</v>
      </c>
      <c r="N312">
        <v>170.1</v>
      </c>
      <c r="O312">
        <v>168.3</v>
      </c>
      <c r="P312">
        <v>172.8</v>
      </c>
      <c r="Q312" s="3">
        <v>162.1</v>
      </c>
      <c r="R312" s="7">
        <v>190.5</v>
      </c>
      <c r="S312">
        <v>167.7</v>
      </c>
      <c r="T312">
        <v>163.6</v>
      </c>
      <c r="U312" s="5">
        <v>167.1</v>
      </c>
      <c r="V312" s="6" t="s">
        <v>32</v>
      </c>
      <c r="W312" s="4">
        <v>163.69999999999999</v>
      </c>
      <c r="X312">
        <v>161.30000000000001</v>
      </c>
      <c r="Y312">
        <v>171.9</v>
      </c>
      <c r="Z312">
        <v>157.80000000000001</v>
      </c>
      <c r="AA312">
        <v>162.69999999999999</v>
      </c>
      <c r="AB312">
        <v>168.5</v>
      </c>
      <c r="AC312">
        <v>160.19999999999999</v>
      </c>
      <c r="AD312" s="7">
        <v>163.80000000000001</v>
      </c>
      <c r="AE312">
        <v>164</v>
      </c>
    </row>
    <row r="313" spans="1:31" x14ac:dyDescent="0.3">
      <c r="A313" t="s">
        <v>33</v>
      </c>
      <c r="B313">
        <v>2021</v>
      </c>
      <c r="C313" t="s">
        <v>42</v>
      </c>
      <c r="D313" s="10" t="str">
        <f xml:space="preserve"> _xlfn.CONCAT(Table1[[#This Row],[Month]],",",Table1[[#This Row],[Year]])</f>
        <v>September,2021</v>
      </c>
      <c r="E313">
        <v>149.30000000000001</v>
      </c>
      <c r="F313">
        <v>207.4</v>
      </c>
      <c r="G313">
        <v>174.1</v>
      </c>
      <c r="H313">
        <v>159.1</v>
      </c>
      <c r="I313">
        <v>175</v>
      </c>
      <c r="J313">
        <v>161.19999999999999</v>
      </c>
      <c r="K313">
        <v>183.5</v>
      </c>
      <c r="L313">
        <v>164.5</v>
      </c>
      <c r="M313">
        <v>120.4</v>
      </c>
      <c r="N313">
        <v>166.2</v>
      </c>
      <c r="O313">
        <v>154.80000000000001</v>
      </c>
      <c r="P313">
        <v>175.1</v>
      </c>
      <c r="Q313" s="3">
        <v>167.3</v>
      </c>
      <c r="R313" s="7">
        <v>196.5</v>
      </c>
      <c r="S313">
        <v>159.80000000000001</v>
      </c>
      <c r="T313">
        <v>143.6</v>
      </c>
      <c r="U313" s="5">
        <v>157.4</v>
      </c>
      <c r="V313" s="6">
        <v>162.1</v>
      </c>
      <c r="W313" s="4">
        <v>160.80000000000001</v>
      </c>
      <c r="X313">
        <v>153.30000000000001</v>
      </c>
      <c r="Y313">
        <v>162.80000000000001</v>
      </c>
      <c r="Z313">
        <v>150.5</v>
      </c>
      <c r="AA313">
        <v>153.9</v>
      </c>
      <c r="AB313">
        <v>160.30000000000001</v>
      </c>
      <c r="AC313">
        <v>159.6</v>
      </c>
      <c r="AD313" s="7">
        <v>156</v>
      </c>
      <c r="AE313">
        <v>162.30000000000001</v>
      </c>
    </row>
    <row r="314" spans="1:31" x14ac:dyDescent="0.3">
      <c r="A314" t="s">
        <v>34</v>
      </c>
      <c r="B314">
        <v>2021</v>
      </c>
      <c r="C314" t="s">
        <v>42</v>
      </c>
      <c r="D314" s="10" t="str">
        <f xml:space="preserve"> _xlfn.CONCAT(Table1[[#This Row],[Month]],",",Table1[[#This Row],[Year]])</f>
        <v>September,2021</v>
      </c>
      <c r="E314">
        <v>146.6</v>
      </c>
      <c r="F314">
        <v>204</v>
      </c>
      <c r="G314">
        <v>172.8</v>
      </c>
      <c r="H314">
        <v>158.4</v>
      </c>
      <c r="I314">
        <v>188</v>
      </c>
      <c r="J314">
        <v>156.69999999999999</v>
      </c>
      <c r="K314">
        <v>162.30000000000001</v>
      </c>
      <c r="L314">
        <v>164.1</v>
      </c>
      <c r="M314">
        <v>119.7</v>
      </c>
      <c r="N314">
        <v>168.8</v>
      </c>
      <c r="O314">
        <v>162.69999999999999</v>
      </c>
      <c r="P314">
        <v>173.9</v>
      </c>
      <c r="Q314" s="3">
        <v>164</v>
      </c>
      <c r="R314" s="7">
        <v>192.1</v>
      </c>
      <c r="S314">
        <v>164.6</v>
      </c>
      <c r="T314">
        <v>155.30000000000001</v>
      </c>
      <c r="U314" s="5">
        <v>163.30000000000001</v>
      </c>
      <c r="V314" s="6">
        <v>162.1</v>
      </c>
      <c r="W314" s="4">
        <v>162.6</v>
      </c>
      <c r="X314">
        <v>157.5</v>
      </c>
      <c r="Y314">
        <v>168.4</v>
      </c>
      <c r="Z314">
        <v>154</v>
      </c>
      <c r="AA314">
        <v>157.69999999999999</v>
      </c>
      <c r="AB314">
        <v>163.69999999999999</v>
      </c>
      <c r="AC314">
        <v>160</v>
      </c>
      <c r="AD314" s="7">
        <v>160</v>
      </c>
      <c r="AE314">
        <v>163.19999999999999</v>
      </c>
    </row>
    <row r="315" spans="1:31" x14ac:dyDescent="0.3">
      <c r="A315" t="s">
        <v>30</v>
      </c>
      <c r="B315">
        <v>2021</v>
      </c>
      <c r="C315" t="s">
        <v>43</v>
      </c>
      <c r="D315" s="10" t="str">
        <f xml:space="preserve"> _xlfn.CONCAT(Table1[[#This Row],[Month]],",",Table1[[#This Row],[Year]])</f>
        <v>October,2021</v>
      </c>
      <c r="E315">
        <v>146.1</v>
      </c>
      <c r="F315">
        <v>202.5</v>
      </c>
      <c r="G315">
        <v>170.1</v>
      </c>
      <c r="H315">
        <v>158.4</v>
      </c>
      <c r="I315">
        <v>198.8</v>
      </c>
      <c r="J315">
        <v>152.6</v>
      </c>
      <c r="K315">
        <v>170.4</v>
      </c>
      <c r="L315">
        <v>165.2</v>
      </c>
      <c r="M315">
        <v>121.6</v>
      </c>
      <c r="N315">
        <v>170.6</v>
      </c>
      <c r="O315">
        <v>168.8</v>
      </c>
      <c r="P315">
        <v>173.6</v>
      </c>
      <c r="Q315" s="3">
        <v>165.5</v>
      </c>
      <c r="R315" s="7">
        <v>191.2</v>
      </c>
      <c r="S315">
        <v>168.9</v>
      </c>
      <c r="T315">
        <v>164.8</v>
      </c>
      <c r="U315" s="5">
        <v>168.3</v>
      </c>
      <c r="V315" s="6" t="s">
        <v>32</v>
      </c>
      <c r="W315" s="4">
        <v>165.5</v>
      </c>
      <c r="X315">
        <v>162</v>
      </c>
      <c r="Y315">
        <v>172.5</v>
      </c>
      <c r="Z315">
        <v>159.5</v>
      </c>
      <c r="AA315">
        <v>163.19999999999999</v>
      </c>
      <c r="AB315">
        <v>169</v>
      </c>
      <c r="AC315">
        <v>161.1</v>
      </c>
      <c r="AD315" s="7">
        <v>164.7</v>
      </c>
      <c r="AE315">
        <v>166.3</v>
      </c>
    </row>
    <row r="316" spans="1:31" x14ac:dyDescent="0.3">
      <c r="A316" t="s">
        <v>33</v>
      </c>
      <c r="B316">
        <v>2021</v>
      </c>
      <c r="C316" t="s">
        <v>43</v>
      </c>
      <c r="D316" s="10" t="str">
        <f xml:space="preserve"> _xlfn.CONCAT(Table1[[#This Row],[Month]],",",Table1[[#This Row],[Year]])</f>
        <v>October,2021</v>
      </c>
      <c r="E316">
        <v>150.1</v>
      </c>
      <c r="F316">
        <v>208.4</v>
      </c>
      <c r="G316">
        <v>173</v>
      </c>
      <c r="H316">
        <v>159.19999999999999</v>
      </c>
      <c r="I316">
        <v>176.6</v>
      </c>
      <c r="J316">
        <v>159.30000000000001</v>
      </c>
      <c r="K316">
        <v>214.4</v>
      </c>
      <c r="L316">
        <v>165.3</v>
      </c>
      <c r="M316">
        <v>122.5</v>
      </c>
      <c r="N316">
        <v>166.8</v>
      </c>
      <c r="O316">
        <v>155.4</v>
      </c>
      <c r="P316">
        <v>175.9</v>
      </c>
      <c r="Q316" s="3">
        <v>171.5</v>
      </c>
      <c r="R316" s="7">
        <v>197</v>
      </c>
      <c r="S316">
        <v>160.80000000000001</v>
      </c>
      <c r="T316">
        <v>144.4</v>
      </c>
      <c r="U316" s="5">
        <v>158.30000000000001</v>
      </c>
      <c r="V316" s="6">
        <v>163.6</v>
      </c>
      <c r="W316" s="4">
        <v>162.19999999999999</v>
      </c>
      <c r="X316">
        <v>154.30000000000001</v>
      </c>
      <c r="Y316">
        <v>163.5</v>
      </c>
      <c r="Z316">
        <v>152.19999999999999</v>
      </c>
      <c r="AA316">
        <v>155.1</v>
      </c>
      <c r="AB316">
        <v>160.30000000000001</v>
      </c>
      <c r="AC316">
        <v>160.30000000000001</v>
      </c>
      <c r="AD316" s="7">
        <v>157</v>
      </c>
      <c r="AE316">
        <v>164.6</v>
      </c>
    </row>
    <row r="317" spans="1:31" x14ac:dyDescent="0.3">
      <c r="A317" t="s">
        <v>34</v>
      </c>
      <c r="B317">
        <v>2021</v>
      </c>
      <c r="C317" t="s">
        <v>43</v>
      </c>
      <c r="D317" s="10" t="str">
        <f xml:space="preserve"> _xlfn.CONCAT(Table1[[#This Row],[Month]],",",Table1[[#This Row],[Year]])</f>
        <v>October,2021</v>
      </c>
      <c r="E317">
        <v>147.4</v>
      </c>
      <c r="F317">
        <v>204.6</v>
      </c>
      <c r="G317">
        <v>171.2</v>
      </c>
      <c r="H317">
        <v>158.69999999999999</v>
      </c>
      <c r="I317">
        <v>190.6</v>
      </c>
      <c r="J317">
        <v>155.69999999999999</v>
      </c>
      <c r="K317">
        <v>185.3</v>
      </c>
      <c r="L317">
        <v>165.2</v>
      </c>
      <c r="M317">
        <v>121.9</v>
      </c>
      <c r="N317">
        <v>169.3</v>
      </c>
      <c r="O317">
        <v>163.19999999999999</v>
      </c>
      <c r="P317">
        <v>174.7</v>
      </c>
      <c r="Q317" s="3">
        <v>167.7</v>
      </c>
      <c r="R317" s="7">
        <v>192.7</v>
      </c>
      <c r="S317">
        <v>165.7</v>
      </c>
      <c r="T317">
        <v>156.30000000000001</v>
      </c>
      <c r="U317" s="5">
        <v>164.3</v>
      </c>
      <c r="V317" s="6">
        <v>163.6</v>
      </c>
      <c r="W317" s="4">
        <v>164.2</v>
      </c>
      <c r="X317">
        <v>158.4</v>
      </c>
      <c r="Y317">
        <v>169.1</v>
      </c>
      <c r="Z317">
        <v>155.69999999999999</v>
      </c>
      <c r="AA317">
        <v>158.6</v>
      </c>
      <c r="AB317">
        <v>163.9</v>
      </c>
      <c r="AC317">
        <v>160.80000000000001</v>
      </c>
      <c r="AD317" s="7">
        <v>161</v>
      </c>
      <c r="AE317">
        <v>165.5</v>
      </c>
    </row>
    <row r="318" spans="1:31" x14ac:dyDescent="0.3">
      <c r="A318" t="s">
        <v>30</v>
      </c>
      <c r="B318">
        <v>2021</v>
      </c>
      <c r="C318" t="s">
        <v>45</v>
      </c>
      <c r="D318" s="10" t="str">
        <f xml:space="preserve"> _xlfn.CONCAT(Table1[[#This Row],[Month]],",",Table1[[#This Row],[Year]])</f>
        <v>November,2021</v>
      </c>
      <c r="E318">
        <v>146.9</v>
      </c>
      <c r="F318">
        <v>199.8</v>
      </c>
      <c r="G318">
        <v>171.5</v>
      </c>
      <c r="H318">
        <v>159.1</v>
      </c>
      <c r="I318">
        <v>198.4</v>
      </c>
      <c r="J318">
        <v>153.19999999999999</v>
      </c>
      <c r="K318">
        <v>183.9</v>
      </c>
      <c r="L318">
        <v>165.4</v>
      </c>
      <c r="M318">
        <v>122.1</v>
      </c>
      <c r="N318">
        <v>170.8</v>
      </c>
      <c r="O318">
        <v>169.1</v>
      </c>
      <c r="P318">
        <v>174.3</v>
      </c>
      <c r="Q318" s="3">
        <v>167.5</v>
      </c>
      <c r="R318" s="7">
        <v>191.4</v>
      </c>
      <c r="S318">
        <v>170.4</v>
      </c>
      <c r="T318">
        <v>166</v>
      </c>
      <c r="U318" s="5">
        <v>169.8</v>
      </c>
      <c r="V318" s="6" t="s">
        <v>32</v>
      </c>
      <c r="W318" s="4">
        <v>165.3</v>
      </c>
      <c r="X318">
        <v>162.9</v>
      </c>
      <c r="Y318">
        <v>173.4</v>
      </c>
      <c r="Z318">
        <v>158.9</v>
      </c>
      <c r="AA318">
        <v>163.80000000000001</v>
      </c>
      <c r="AB318">
        <v>169.3</v>
      </c>
      <c r="AC318">
        <v>162.4</v>
      </c>
      <c r="AD318" s="7">
        <v>165.2</v>
      </c>
      <c r="AE318">
        <v>167.6</v>
      </c>
    </row>
    <row r="319" spans="1:31" x14ac:dyDescent="0.3">
      <c r="A319" t="s">
        <v>33</v>
      </c>
      <c r="B319">
        <v>2021</v>
      </c>
      <c r="C319" t="s">
        <v>45</v>
      </c>
      <c r="D319" s="10" t="str">
        <f xml:space="preserve"> _xlfn.CONCAT(Table1[[#This Row],[Month]],",",Table1[[#This Row],[Year]])</f>
        <v>November,2021</v>
      </c>
      <c r="E319">
        <v>151</v>
      </c>
      <c r="F319">
        <v>204.9</v>
      </c>
      <c r="G319">
        <v>175.4</v>
      </c>
      <c r="H319">
        <v>159.6</v>
      </c>
      <c r="I319">
        <v>175.8</v>
      </c>
      <c r="J319">
        <v>160.30000000000001</v>
      </c>
      <c r="K319">
        <v>229.1</v>
      </c>
      <c r="L319">
        <v>165.1</v>
      </c>
      <c r="M319">
        <v>123.1</v>
      </c>
      <c r="N319">
        <v>167.2</v>
      </c>
      <c r="O319">
        <v>156.1</v>
      </c>
      <c r="P319">
        <v>176.8</v>
      </c>
      <c r="Q319" s="3">
        <v>173.5</v>
      </c>
      <c r="R319" s="7">
        <v>197</v>
      </c>
      <c r="S319">
        <v>162.30000000000001</v>
      </c>
      <c r="T319">
        <v>145.30000000000001</v>
      </c>
      <c r="U319" s="5">
        <v>159.69999999999999</v>
      </c>
      <c r="V319" s="6">
        <v>164.2</v>
      </c>
      <c r="W319" s="4">
        <v>161.6</v>
      </c>
      <c r="X319">
        <v>155.19999999999999</v>
      </c>
      <c r="Y319">
        <v>164.2</v>
      </c>
      <c r="Z319">
        <v>151.19999999999999</v>
      </c>
      <c r="AA319">
        <v>156.69999999999999</v>
      </c>
      <c r="AB319">
        <v>160.80000000000001</v>
      </c>
      <c r="AC319">
        <v>161.80000000000001</v>
      </c>
      <c r="AD319" s="7">
        <v>157.30000000000001</v>
      </c>
      <c r="AE319">
        <v>165.6</v>
      </c>
    </row>
    <row r="320" spans="1:31" x14ac:dyDescent="0.3">
      <c r="A320" t="s">
        <v>34</v>
      </c>
      <c r="B320">
        <v>2021</v>
      </c>
      <c r="C320" t="s">
        <v>45</v>
      </c>
      <c r="D320" s="10" t="str">
        <f xml:space="preserve"> _xlfn.CONCAT(Table1[[#This Row],[Month]],",",Table1[[#This Row],[Year]])</f>
        <v>November,2021</v>
      </c>
      <c r="E320">
        <v>148.19999999999999</v>
      </c>
      <c r="F320">
        <v>201.6</v>
      </c>
      <c r="G320">
        <v>173</v>
      </c>
      <c r="H320">
        <v>159.30000000000001</v>
      </c>
      <c r="I320">
        <v>190.1</v>
      </c>
      <c r="J320">
        <v>156.5</v>
      </c>
      <c r="K320">
        <v>199.2</v>
      </c>
      <c r="L320">
        <v>165.3</v>
      </c>
      <c r="M320">
        <v>122.4</v>
      </c>
      <c r="N320">
        <v>169.6</v>
      </c>
      <c r="O320">
        <v>163.69999999999999</v>
      </c>
      <c r="P320">
        <v>175.5</v>
      </c>
      <c r="Q320" s="3">
        <v>169.7</v>
      </c>
      <c r="R320" s="7">
        <v>192.9</v>
      </c>
      <c r="S320">
        <v>167.2</v>
      </c>
      <c r="T320">
        <v>157.4</v>
      </c>
      <c r="U320" s="5">
        <v>165.8</v>
      </c>
      <c r="V320" s="6">
        <v>164.2</v>
      </c>
      <c r="W320" s="4">
        <v>163.9</v>
      </c>
      <c r="X320">
        <v>159.30000000000001</v>
      </c>
      <c r="Y320">
        <v>169.9</v>
      </c>
      <c r="Z320">
        <v>154.80000000000001</v>
      </c>
      <c r="AA320">
        <v>159.80000000000001</v>
      </c>
      <c r="AB320">
        <v>164.3</v>
      </c>
      <c r="AC320">
        <v>162.19999999999999</v>
      </c>
      <c r="AD320" s="7">
        <v>161.4</v>
      </c>
      <c r="AE320">
        <v>166.7</v>
      </c>
    </row>
    <row r="321" spans="1:31" x14ac:dyDescent="0.3">
      <c r="A321" t="s">
        <v>30</v>
      </c>
      <c r="B321">
        <v>2021</v>
      </c>
      <c r="C321" t="s">
        <v>46</v>
      </c>
      <c r="D321" s="10" t="str">
        <f xml:space="preserve"> _xlfn.CONCAT(Table1[[#This Row],[Month]],",",Table1[[#This Row],[Year]])</f>
        <v>December,2021</v>
      </c>
      <c r="E321">
        <v>147.4</v>
      </c>
      <c r="F321">
        <v>197</v>
      </c>
      <c r="G321">
        <v>176.5</v>
      </c>
      <c r="H321">
        <v>159.80000000000001</v>
      </c>
      <c r="I321">
        <v>195.8</v>
      </c>
      <c r="J321">
        <v>152</v>
      </c>
      <c r="K321">
        <v>172.3</v>
      </c>
      <c r="L321">
        <v>164.5</v>
      </c>
      <c r="M321">
        <v>120.6</v>
      </c>
      <c r="N321">
        <v>171.7</v>
      </c>
      <c r="O321">
        <v>169.7</v>
      </c>
      <c r="P321">
        <v>175.1</v>
      </c>
      <c r="Q321" s="3">
        <v>165.8</v>
      </c>
      <c r="R321" s="7">
        <v>190.8</v>
      </c>
      <c r="S321">
        <v>171.8</v>
      </c>
      <c r="T321">
        <v>167.3</v>
      </c>
      <c r="U321" s="5">
        <v>171.2</v>
      </c>
      <c r="V321" s="6" t="s">
        <v>32</v>
      </c>
      <c r="W321" s="4">
        <v>165.6</v>
      </c>
      <c r="X321">
        <v>163.9</v>
      </c>
      <c r="Y321">
        <v>174</v>
      </c>
      <c r="Z321">
        <v>160.1</v>
      </c>
      <c r="AA321">
        <v>164.5</v>
      </c>
      <c r="AB321">
        <v>169.7</v>
      </c>
      <c r="AC321">
        <v>162.80000000000001</v>
      </c>
      <c r="AD321" s="7">
        <v>166</v>
      </c>
      <c r="AE321">
        <v>167</v>
      </c>
    </row>
    <row r="322" spans="1:31" x14ac:dyDescent="0.3">
      <c r="A322" t="s">
        <v>33</v>
      </c>
      <c r="B322">
        <v>2021</v>
      </c>
      <c r="C322" t="s">
        <v>46</v>
      </c>
      <c r="D322" s="10" t="str">
        <f xml:space="preserve"> _xlfn.CONCAT(Table1[[#This Row],[Month]],",",Table1[[#This Row],[Year]])</f>
        <v>December,2021</v>
      </c>
      <c r="E322">
        <v>151.6</v>
      </c>
      <c r="F322">
        <v>202.2</v>
      </c>
      <c r="G322">
        <v>180</v>
      </c>
      <c r="H322">
        <v>160</v>
      </c>
      <c r="I322">
        <v>173.5</v>
      </c>
      <c r="J322">
        <v>158.30000000000001</v>
      </c>
      <c r="K322">
        <v>219.5</v>
      </c>
      <c r="L322">
        <v>164.2</v>
      </c>
      <c r="M322">
        <v>121.9</v>
      </c>
      <c r="N322">
        <v>168.2</v>
      </c>
      <c r="O322">
        <v>156.5</v>
      </c>
      <c r="P322">
        <v>178.2</v>
      </c>
      <c r="Q322" s="3">
        <v>172.2</v>
      </c>
      <c r="R322" s="7">
        <v>196.8</v>
      </c>
      <c r="S322">
        <v>163.30000000000001</v>
      </c>
      <c r="T322">
        <v>146.69999999999999</v>
      </c>
      <c r="U322" s="5">
        <v>160.69999999999999</v>
      </c>
      <c r="V322" s="6">
        <v>163.4</v>
      </c>
      <c r="W322" s="4">
        <v>161.69999999999999</v>
      </c>
      <c r="X322">
        <v>156</v>
      </c>
      <c r="Y322">
        <v>165.1</v>
      </c>
      <c r="Z322">
        <v>151.80000000000001</v>
      </c>
      <c r="AA322">
        <v>157.6</v>
      </c>
      <c r="AB322">
        <v>160.6</v>
      </c>
      <c r="AC322">
        <v>162.4</v>
      </c>
      <c r="AD322" s="7">
        <v>157.80000000000001</v>
      </c>
      <c r="AE322">
        <v>165.2</v>
      </c>
    </row>
    <row r="323" spans="1:31" x14ac:dyDescent="0.3">
      <c r="A323" t="s">
        <v>34</v>
      </c>
      <c r="B323">
        <v>2021</v>
      </c>
      <c r="C323" t="s">
        <v>46</v>
      </c>
      <c r="D323" s="10" t="str">
        <f xml:space="preserve"> _xlfn.CONCAT(Table1[[#This Row],[Month]],",",Table1[[#This Row],[Year]])</f>
        <v>December,2021</v>
      </c>
      <c r="E323">
        <v>148.69999999999999</v>
      </c>
      <c r="F323">
        <v>198.8</v>
      </c>
      <c r="G323">
        <v>177.9</v>
      </c>
      <c r="H323">
        <v>159.9</v>
      </c>
      <c r="I323">
        <v>187.6</v>
      </c>
      <c r="J323">
        <v>154.9</v>
      </c>
      <c r="K323">
        <v>188.3</v>
      </c>
      <c r="L323">
        <v>164.4</v>
      </c>
      <c r="M323">
        <v>121</v>
      </c>
      <c r="N323">
        <v>170.5</v>
      </c>
      <c r="O323">
        <v>164.2</v>
      </c>
      <c r="P323">
        <v>176.5</v>
      </c>
      <c r="Q323" s="3">
        <v>168.2</v>
      </c>
      <c r="R323" s="7">
        <v>192.4</v>
      </c>
      <c r="S323">
        <v>168.5</v>
      </c>
      <c r="T323">
        <v>158.69999999999999</v>
      </c>
      <c r="U323" s="5">
        <v>167</v>
      </c>
      <c r="V323" s="6">
        <v>163.4</v>
      </c>
      <c r="W323" s="4">
        <v>164.1</v>
      </c>
      <c r="X323">
        <v>160.19999999999999</v>
      </c>
      <c r="Y323">
        <v>170.6</v>
      </c>
      <c r="Z323">
        <v>155.69999999999999</v>
      </c>
      <c r="AA323">
        <v>160.6</v>
      </c>
      <c r="AB323">
        <v>164.4</v>
      </c>
      <c r="AC323">
        <v>162.6</v>
      </c>
      <c r="AD323" s="7">
        <v>162</v>
      </c>
      <c r="AE323">
        <v>166.2</v>
      </c>
    </row>
    <row r="324" spans="1:31" x14ac:dyDescent="0.3">
      <c r="A324" t="s">
        <v>30</v>
      </c>
      <c r="B324">
        <v>2022</v>
      </c>
      <c r="C324" t="s">
        <v>31</v>
      </c>
      <c r="D324" s="10" t="str">
        <f xml:space="preserve"> _xlfn.CONCAT(Table1[[#This Row],[Month]],",",Table1[[#This Row],[Year]])</f>
        <v>January,2022</v>
      </c>
      <c r="E324">
        <v>148.30000000000001</v>
      </c>
      <c r="F324">
        <v>196.9</v>
      </c>
      <c r="G324">
        <v>178</v>
      </c>
      <c r="H324">
        <v>160.5</v>
      </c>
      <c r="I324">
        <v>192.6</v>
      </c>
      <c r="J324">
        <v>151.19999999999999</v>
      </c>
      <c r="K324">
        <v>159.19999999999999</v>
      </c>
      <c r="L324">
        <v>164</v>
      </c>
      <c r="M324">
        <v>119.3</v>
      </c>
      <c r="N324">
        <v>173.3</v>
      </c>
      <c r="O324">
        <v>169.8</v>
      </c>
      <c r="P324">
        <v>175.8</v>
      </c>
      <c r="Q324" s="3">
        <v>164.1</v>
      </c>
      <c r="R324" s="7">
        <v>190.7</v>
      </c>
      <c r="S324">
        <v>173.2</v>
      </c>
      <c r="T324">
        <v>169.3</v>
      </c>
      <c r="U324" s="5">
        <v>172.7</v>
      </c>
      <c r="V324" s="6" t="s">
        <v>32</v>
      </c>
      <c r="W324" s="4">
        <v>165.8</v>
      </c>
      <c r="X324">
        <v>164.9</v>
      </c>
      <c r="Y324">
        <v>174.7</v>
      </c>
      <c r="Z324">
        <v>160.80000000000001</v>
      </c>
      <c r="AA324">
        <v>164.9</v>
      </c>
      <c r="AB324">
        <v>169.9</v>
      </c>
      <c r="AC324">
        <v>163.19999999999999</v>
      </c>
      <c r="AD324" s="7">
        <v>166.6</v>
      </c>
      <c r="AE324">
        <v>166.4</v>
      </c>
    </row>
    <row r="325" spans="1:31" x14ac:dyDescent="0.3">
      <c r="A325" t="s">
        <v>33</v>
      </c>
      <c r="B325">
        <v>2022</v>
      </c>
      <c r="C325" t="s">
        <v>31</v>
      </c>
      <c r="D325" s="10" t="str">
        <f xml:space="preserve"> _xlfn.CONCAT(Table1[[#This Row],[Month]],",",Table1[[#This Row],[Year]])</f>
        <v>January,2022</v>
      </c>
      <c r="E325">
        <v>152.19999999999999</v>
      </c>
      <c r="F325">
        <v>202.1</v>
      </c>
      <c r="G325">
        <v>180.1</v>
      </c>
      <c r="H325">
        <v>160.4</v>
      </c>
      <c r="I325">
        <v>171</v>
      </c>
      <c r="J325">
        <v>156.5</v>
      </c>
      <c r="K325">
        <v>203.6</v>
      </c>
      <c r="L325">
        <v>163.80000000000001</v>
      </c>
      <c r="M325">
        <v>121.3</v>
      </c>
      <c r="N325">
        <v>169.8</v>
      </c>
      <c r="O325">
        <v>156.6</v>
      </c>
      <c r="P325">
        <v>179</v>
      </c>
      <c r="Q325" s="3">
        <v>170.3</v>
      </c>
      <c r="R325" s="7">
        <v>196.4</v>
      </c>
      <c r="S325">
        <v>164.7</v>
      </c>
      <c r="T325">
        <v>148.5</v>
      </c>
      <c r="U325" s="5">
        <v>162.19999999999999</v>
      </c>
      <c r="V325" s="6">
        <v>164.5</v>
      </c>
      <c r="W325" s="4">
        <v>161.6</v>
      </c>
      <c r="X325">
        <v>156.80000000000001</v>
      </c>
      <c r="Y325">
        <v>166.1</v>
      </c>
      <c r="Z325">
        <v>152.69999999999999</v>
      </c>
      <c r="AA325">
        <v>158.4</v>
      </c>
      <c r="AB325">
        <v>161</v>
      </c>
      <c r="AC325">
        <v>162.80000000000001</v>
      </c>
      <c r="AD325" s="7">
        <v>158.6</v>
      </c>
      <c r="AE325">
        <v>165</v>
      </c>
    </row>
    <row r="326" spans="1:31" x14ac:dyDescent="0.3">
      <c r="A326" t="s">
        <v>34</v>
      </c>
      <c r="B326">
        <v>2022</v>
      </c>
      <c r="C326" t="s">
        <v>31</v>
      </c>
      <c r="D326" s="10" t="str">
        <f xml:space="preserve"> _xlfn.CONCAT(Table1[[#This Row],[Month]],",",Table1[[#This Row],[Year]])</f>
        <v>January,2022</v>
      </c>
      <c r="E326">
        <v>149.5</v>
      </c>
      <c r="F326">
        <v>198.7</v>
      </c>
      <c r="G326">
        <v>178.8</v>
      </c>
      <c r="H326">
        <v>160.5</v>
      </c>
      <c r="I326">
        <v>184.7</v>
      </c>
      <c r="J326">
        <v>153.69999999999999</v>
      </c>
      <c r="K326">
        <v>174.3</v>
      </c>
      <c r="L326">
        <v>163.9</v>
      </c>
      <c r="M326">
        <v>120</v>
      </c>
      <c r="N326">
        <v>172.1</v>
      </c>
      <c r="O326">
        <v>164.3</v>
      </c>
      <c r="P326">
        <v>177.3</v>
      </c>
      <c r="Q326" s="3">
        <v>166.4</v>
      </c>
      <c r="R326" s="7">
        <v>192.2</v>
      </c>
      <c r="S326">
        <v>169.9</v>
      </c>
      <c r="T326">
        <v>160.69999999999999</v>
      </c>
      <c r="U326" s="5">
        <v>168.5</v>
      </c>
      <c r="V326" s="6">
        <v>164.5</v>
      </c>
      <c r="W326" s="4">
        <v>164.2</v>
      </c>
      <c r="X326">
        <v>161.1</v>
      </c>
      <c r="Y326">
        <v>171.4</v>
      </c>
      <c r="Z326">
        <v>156.5</v>
      </c>
      <c r="AA326">
        <v>161.19999999999999</v>
      </c>
      <c r="AB326">
        <v>164.7</v>
      </c>
      <c r="AC326">
        <v>163</v>
      </c>
      <c r="AD326" s="7">
        <v>162.69999999999999</v>
      </c>
      <c r="AE326">
        <v>165.7</v>
      </c>
    </row>
    <row r="327" spans="1:31" x14ac:dyDescent="0.3">
      <c r="A327" t="s">
        <v>30</v>
      </c>
      <c r="B327">
        <v>2022</v>
      </c>
      <c r="C327" t="s">
        <v>35</v>
      </c>
      <c r="D327" s="10" t="str">
        <f xml:space="preserve"> _xlfn.CONCAT(Table1[[#This Row],[Month]],",",Table1[[#This Row],[Year]])</f>
        <v>February,2022</v>
      </c>
      <c r="E327">
        <v>148.80000000000001</v>
      </c>
      <c r="F327">
        <v>198.1</v>
      </c>
      <c r="G327">
        <v>175.5</v>
      </c>
      <c r="H327">
        <v>160.69999999999999</v>
      </c>
      <c r="I327">
        <v>192.6</v>
      </c>
      <c r="J327">
        <v>151.4</v>
      </c>
      <c r="K327">
        <v>155.19999999999999</v>
      </c>
      <c r="L327">
        <v>163.9</v>
      </c>
      <c r="M327">
        <v>118.1</v>
      </c>
      <c r="N327">
        <v>175.4</v>
      </c>
      <c r="O327">
        <v>170.5</v>
      </c>
      <c r="P327">
        <v>176.3</v>
      </c>
      <c r="Q327" s="3">
        <v>163.9</v>
      </c>
      <c r="R327" s="7">
        <v>191.5</v>
      </c>
      <c r="S327">
        <v>174.1</v>
      </c>
      <c r="T327">
        <v>171</v>
      </c>
      <c r="U327" s="5">
        <v>173.7</v>
      </c>
      <c r="V327" s="6" t="s">
        <v>32</v>
      </c>
      <c r="W327" s="4">
        <v>167.4</v>
      </c>
      <c r="X327">
        <v>165.7</v>
      </c>
      <c r="Y327">
        <v>175.3</v>
      </c>
      <c r="Z327">
        <v>161.19999999999999</v>
      </c>
      <c r="AA327">
        <v>165.5</v>
      </c>
      <c r="AB327">
        <v>170.3</v>
      </c>
      <c r="AC327">
        <v>164.5</v>
      </c>
      <c r="AD327" s="7">
        <v>167.3</v>
      </c>
      <c r="AE327">
        <v>166.7</v>
      </c>
    </row>
    <row r="328" spans="1:31" x14ac:dyDescent="0.3">
      <c r="A328" t="s">
        <v>33</v>
      </c>
      <c r="B328">
        <v>2022</v>
      </c>
      <c r="C328" t="s">
        <v>35</v>
      </c>
      <c r="D328" s="10" t="str">
        <f xml:space="preserve"> _xlfn.CONCAT(Table1[[#This Row],[Month]],",",Table1[[#This Row],[Year]])</f>
        <v>February,2022</v>
      </c>
      <c r="E328">
        <v>152.5</v>
      </c>
      <c r="F328">
        <v>205.2</v>
      </c>
      <c r="G328">
        <v>176.4</v>
      </c>
      <c r="H328">
        <v>160.6</v>
      </c>
      <c r="I328">
        <v>171.5</v>
      </c>
      <c r="J328">
        <v>156.4</v>
      </c>
      <c r="K328">
        <v>198</v>
      </c>
      <c r="L328">
        <v>163.19999999999999</v>
      </c>
      <c r="M328">
        <v>120.6</v>
      </c>
      <c r="N328">
        <v>172.2</v>
      </c>
      <c r="O328">
        <v>156.69999999999999</v>
      </c>
      <c r="P328">
        <v>180</v>
      </c>
      <c r="Q328" s="3">
        <v>170.2</v>
      </c>
      <c r="R328" s="7">
        <v>196.5</v>
      </c>
      <c r="S328">
        <v>165.7</v>
      </c>
      <c r="T328">
        <v>150.4</v>
      </c>
      <c r="U328" s="5">
        <v>163.4</v>
      </c>
      <c r="V328" s="6">
        <v>165.5</v>
      </c>
      <c r="W328" s="4">
        <v>163</v>
      </c>
      <c r="X328">
        <v>157.4</v>
      </c>
      <c r="Y328">
        <v>167.2</v>
      </c>
      <c r="Z328">
        <v>153.1</v>
      </c>
      <c r="AA328">
        <v>159.5</v>
      </c>
      <c r="AB328">
        <v>162</v>
      </c>
      <c r="AC328">
        <v>164.2</v>
      </c>
      <c r="AD328" s="7">
        <v>159.4</v>
      </c>
      <c r="AE328">
        <v>165.5</v>
      </c>
    </row>
    <row r="329" spans="1:31" x14ac:dyDescent="0.3">
      <c r="A329" t="s">
        <v>34</v>
      </c>
      <c r="B329">
        <v>2022</v>
      </c>
      <c r="C329" t="s">
        <v>35</v>
      </c>
      <c r="D329" s="10" t="str">
        <f xml:space="preserve"> _xlfn.CONCAT(Table1[[#This Row],[Month]],",",Table1[[#This Row],[Year]])</f>
        <v>February,2022</v>
      </c>
      <c r="E329">
        <v>150</v>
      </c>
      <c r="F329">
        <v>200.6</v>
      </c>
      <c r="G329">
        <v>175.8</v>
      </c>
      <c r="H329">
        <v>160.69999999999999</v>
      </c>
      <c r="I329">
        <v>184.9</v>
      </c>
      <c r="J329">
        <v>153.69999999999999</v>
      </c>
      <c r="K329">
        <v>169.7</v>
      </c>
      <c r="L329">
        <v>163.69999999999999</v>
      </c>
      <c r="M329">
        <v>118.9</v>
      </c>
      <c r="N329">
        <v>174.3</v>
      </c>
      <c r="O329">
        <v>164.7</v>
      </c>
      <c r="P329">
        <v>178</v>
      </c>
      <c r="Q329" s="3">
        <v>166.2</v>
      </c>
      <c r="R329" s="7">
        <v>192.8</v>
      </c>
      <c r="S329">
        <v>170.8</v>
      </c>
      <c r="T329">
        <v>162.4</v>
      </c>
      <c r="U329" s="5">
        <v>169.6</v>
      </c>
      <c r="V329" s="6">
        <v>165.5</v>
      </c>
      <c r="W329" s="4">
        <v>165.7</v>
      </c>
      <c r="X329">
        <v>161.80000000000001</v>
      </c>
      <c r="Y329">
        <v>172.2</v>
      </c>
      <c r="Z329">
        <v>156.9</v>
      </c>
      <c r="AA329">
        <v>162.1</v>
      </c>
      <c r="AB329">
        <v>165.4</v>
      </c>
      <c r="AC329">
        <v>164.4</v>
      </c>
      <c r="AD329" s="7">
        <v>163.5</v>
      </c>
      <c r="AE329">
        <v>166.1</v>
      </c>
    </row>
    <row r="330" spans="1:31" x14ac:dyDescent="0.3">
      <c r="A330" t="s">
        <v>30</v>
      </c>
      <c r="B330">
        <v>2022</v>
      </c>
      <c r="C330" t="s">
        <v>36</v>
      </c>
      <c r="D330" s="10" t="str">
        <f xml:space="preserve"> _xlfn.CONCAT(Table1[[#This Row],[Month]],",",Table1[[#This Row],[Year]])</f>
        <v>March,2022</v>
      </c>
      <c r="E330">
        <v>150.19999999999999</v>
      </c>
      <c r="F330">
        <v>208</v>
      </c>
      <c r="G330">
        <v>167.9</v>
      </c>
      <c r="H330">
        <v>162</v>
      </c>
      <c r="I330">
        <v>203.1</v>
      </c>
      <c r="J330">
        <v>155.9</v>
      </c>
      <c r="K330">
        <v>155.80000000000001</v>
      </c>
      <c r="L330">
        <v>164.2</v>
      </c>
      <c r="M330">
        <v>118.1</v>
      </c>
      <c r="N330">
        <v>178.7</v>
      </c>
      <c r="O330">
        <v>171.2</v>
      </c>
      <c r="P330">
        <v>177.4</v>
      </c>
      <c r="Q330" s="3">
        <v>166.6</v>
      </c>
      <c r="R330" s="7">
        <v>192.3</v>
      </c>
      <c r="S330">
        <v>175.4</v>
      </c>
      <c r="T330">
        <v>173.2</v>
      </c>
      <c r="U330" s="5">
        <v>175.1</v>
      </c>
      <c r="V330" s="6" t="s">
        <v>32</v>
      </c>
      <c r="W330" s="4">
        <v>168.9</v>
      </c>
      <c r="X330">
        <v>166.5</v>
      </c>
      <c r="Y330">
        <v>176</v>
      </c>
      <c r="Z330">
        <v>162</v>
      </c>
      <c r="AA330">
        <v>166.6</v>
      </c>
      <c r="AB330">
        <v>170.6</v>
      </c>
      <c r="AC330">
        <v>167.4</v>
      </c>
      <c r="AD330" s="7">
        <v>168.3</v>
      </c>
      <c r="AE330">
        <v>168.7</v>
      </c>
    </row>
    <row r="331" spans="1:31" x14ac:dyDescent="0.3">
      <c r="A331" t="s">
        <v>33</v>
      </c>
      <c r="B331">
        <v>2022</v>
      </c>
      <c r="C331" t="s">
        <v>36</v>
      </c>
      <c r="D331" s="10" t="str">
        <f xml:space="preserve"> _xlfn.CONCAT(Table1[[#This Row],[Month]],",",Table1[[#This Row],[Year]])</f>
        <v>March,2022</v>
      </c>
      <c r="E331">
        <v>153.69999999999999</v>
      </c>
      <c r="F331">
        <v>215.8</v>
      </c>
      <c r="G331">
        <v>167.7</v>
      </c>
      <c r="H331">
        <v>162.6</v>
      </c>
      <c r="I331">
        <v>180</v>
      </c>
      <c r="J331">
        <v>159.6</v>
      </c>
      <c r="K331">
        <v>188.4</v>
      </c>
      <c r="L331">
        <v>163.4</v>
      </c>
      <c r="M331">
        <v>120.3</v>
      </c>
      <c r="N331">
        <v>174.7</v>
      </c>
      <c r="O331">
        <v>157.1</v>
      </c>
      <c r="P331">
        <v>181.5</v>
      </c>
      <c r="Q331" s="3">
        <v>171.5</v>
      </c>
      <c r="R331" s="7">
        <v>197.5</v>
      </c>
      <c r="S331">
        <v>167.1</v>
      </c>
      <c r="T331">
        <v>152.6</v>
      </c>
      <c r="U331" s="5">
        <v>164.9</v>
      </c>
      <c r="V331" s="6">
        <v>165.3</v>
      </c>
      <c r="W331" s="4">
        <v>164.5</v>
      </c>
      <c r="X331">
        <v>158.6</v>
      </c>
      <c r="Y331">
        <v>168.2</v>
      </c>
      <c r="Z331">
        <v>154.19999999999999</v>
      </c>
      <c r="AA331">
        <v>160.80000000000001</v>
      </c>
      <c r="AB331">
        <v>162.69999999999999</v>
      </c>
      <c r="AC331">
        <v>166.8</v>
      </c>
      <c r="AD331" s="7">
        <v>160.6</v>
      </c>
      <c r="AE331">
        <v>166.5</v>
      </c>
    </row>
    <row r="332" spans="1:31" x14ac:dyDescent="0.3">
      <c r="A332" t="s">
        <v>34</v>
      </c>
      <c r="B332">
        <v>2022</v>
      </c>
      <c r="C332" t="s">
        <v>36</v>
      </c>
      <c r="D332" s="10" t="str">
        <f xml:space="preserve"> _xlfn.CONCAT(Table1[[#This Row],[Month]],",",Table1[[#This Row],[Year]])</f>
        <v>March,2022</v>
      </c>
      <c r="E332">
        <v>151.30000000000001</v>
      </c>
      <c r="F332">
        <v>210.7</v>
      </c>
      <c r="G332">
        <v>167.8</v>
      </c>
      <c r="H332">
        <v>162.19999999999999</v>
      </c>
      <c r="I332">
        <v>194.6</v>
      </c>
      <c r="J332">
        <v>157.6</v>
      </c>
      <c r="K332">
        <v>166.9</v>
      </c>
      <c r="L332">
        <v>163.9</v>
      </c>
      <c r="M332">
        <v>118.8</v>
      </c>
      <c r="N332">
        <v>177.4</v>
      </c>
      <c r="O332">
        <v>165.3</v>
      </c>
      <c r="P332">
        <v>179.3</v>
      </c>
      <c r="Q332" s="3">
        <v>168.4</v>
      </c>
      <c r="R332" s="7">
        <v>193.7</v>
      </c>
      <c r="S332">
        <v>172.1</v>
      </c>
      <c r="T332">
        <v>164.6</v>
      </c>
      <c r="U332" s="5">
        <v>171.1</v>
      </c>
      <c r="V332" s="6">
        <v>165.3</v>
      </c>
      <c r="W332" s="4">
        <v>167.2</v>
      </c>
      <c r="X332">
        <v>162.80000000000001</v>
      </c>
      <c r="Y332">
        <v>173</v>
      </c>
      <c r="Z332">
        <v>157.9</v>
      </c>
      <c r="AA332">
        <v>163.30000000000001</v>
      </c>
      <c r="AB332">
        <v>166</v>
      </c>
      <c r="AC332">
        <v>167.2</v>
      </c>
      <c r="AD332" s="7">
        <v>164.6</v>
      </c>
      <c r="AE332">
        <v>167.7</v>
      </c>
    </row>
    <row r="333" spans="1:31" x14ac:dyDescent="0.3">
      <c r="A333" t="s">
        <v>30</v>
      </c>
      <c r="B333">
        <v>2022</v>
      </c>
      <c r="C333" t="s">
        <v>37</v>
      </c>
      <c r="D333" s="10" t="str">
        <f xml:space="preserve"> _xlfn.CONCAT(Table1[[#This Row],[Month]],",",Table1[[#This Row],[Year]])</f>
        <v>April,2022</v>
      </c>
      <c r="E333">
        <v>151.80000000000001</v>
      </c>
      <c r="F333">
        <v>209.7</v>
      </c>
      <c r="G333">
        <v>164.5</v>
      </c>
      <c r="H333">
        <v>163.80000000000001</v>
      </c>
      <c r="I333">
        <v>207.4</v>
      </c>
      <c r="J333">
        <v>169.7</v>
      </c>
      <c r="K333">
        <v>153.6</v>
      </c>
      <c r="L333">
        <v>165.1</v>
      </c>
      <c r="M333">
        <v>118.2</v>
      </c>
      <c r="N333">
        <v>182.9</v>
      </c>
      <c r="O333">
        <v>172.4</v>
      </c>
      <c r="P333">
        <v>178.9</v>
      </c>
      <c r="Q333" s="3">
        <v>168.6</v>
      </c>
      <c r="R333" s="7">
        <v>192.8</v>
      </c>
      <c r="S333">
        <v>177.5</v>
      </c>
      <c r="T333">
        <v>175.1</v>
      </c>
      <c r="U333" s="5">
        <v>177.1</v>
      </c>
      <c r="V333" s="6" t="s">
        <v>32</v>
      </c>
      <c r="W333" s="4">
        <v>173.3</v>
      </c>
      <c r="X333">
        <v>167.7</v>
      </c>
      <c r="Y333">
        <v>177</v>
      </c>
      <c r="Z333">
        <v>166.2</v>
      </c>
      <c r="AA333">
        <v>167.2</v>
      </c>
      <c r="AB333">
        <v>170.9</v>
      </c>
      <c r="AC333">
        <v>169</v>
      </c>
      <c r="AD333" s="7">
        <v>170.2</v>
      </c>
      <c r="AE333">
        <v>170.8</v>
      </c>
    </row>
    <row r="334" spans="1:31" x14ac:dyDescent="0.3">
      <c r="A334" t="s">
        <v>33</v>
      </c>
      <c r="B334">
        <v>2022</v>
      </c>
      <c r="C334" t="s">
        <v>37</v>
      </c>
      <c r="D334" s="10" t="str">
        <f xml:space="preserve"> _xlfn.CONCAT(Table1[[#This Row],[Month]],",",Table1[[#This Row],[Year]])</f>
        <v>April,2022</v>
      </c>
      <c r="E334">
        <v>155.4</v>
      </c>
      <c r="F334">
        <v>215.8</v>
      </c>
      <c r="G334">
        <v>164.6</v>
      </c>
      <c r="H334">
        <v>164.2</v>
      </c>
      <c r="I334">
        <v>186</v>
      </c>
      <c r="J334">
        <v>175.9</v>
      </c>
      <c r="K334">
        <v>190.7</v>
      </c>
      <c r="L334">
        <v>164</v>
      </c>
      <c r="M334">
        <v>120.5</v>
      </c>
      <c r="N334">
        <v>178</v>
      </c>
      <c r="O334">
        <v>157.5</v>
      </c>
      <c r="P334">
        <v>183.3</v>
      </c>
      <c r="Q334" s="3">
        <v>174.5</v>
      </c>
      <c r="R334" s="7">
        <v>197.1</v>
      </c>
      <c r="S334">
        <v>168.4</v>
      </c>
      <c r="T334">
        <v>154.5</v>
      </c>
      <c r="U334" s="5">
        <v>166.3</v>
      </c>
      <c r="V334" s="6">
        <v>167</v>
      </c>
      <c r="W334" s="4">
        <v>170.5</v>
      </c>
      <c r="X334">
        <v>159.80000000000001</v>
      </c>
      <c r="Y334">
        <v>169</v>
      </c>
      <c r="Z334">
        <v>159.30000000000001</v>
      </c>
      <c r="AA334">
        <v>162.19999999999999</v>
      </c>
      <c r="AB334">
        <v>164</v>
      </c>
      <c r="AC334">
        <v>168.4</v>
      </c>
      <c r="AD334" s="7">
        <v>163.1</v>
      </c>
      <c r="AE334">
        <v>169.2</v>
      </c>
    </row>
    <row r="335" spans="1:31" x14ac:dyDescent="0.3">
      <c r="A335" t="s">
        <v>34</v>
      </c>
      <c r="B335">
        <v>2022</v>
      </c>
      <c r="C335" t="s">
        <v>37</v>
      </c>
      <c r="D335" s="10" t="str">
        <f xml:space="preserve"> _xlfn.CONCAT(Table1[[#This Row],[Month]],",",Table1[[#This Row],[Year]])</f>
        <v>April,2022</v>
      </c>
      <c r="E335">
        <v>152.9</v>
      </c>
      <c r="F335">
        <v>211.8</v>
      </c>
      <c r="G335">
        <v>164.5</v>
      </c>
      <c r="H335">
        <v>163.9</v>
      </c>
      <c r="I335">
        <v>199.5</v>
      </c>
      <c r="J335">
        <v>172.6</v>
      </c>
      <c r="K335">
        <v>166.2</v>
      </c>
      <c r="L335">
        <v>164.7</v>
      </c>
      <c r="M335">
        <v>119</v>
      </c>
      <c r="N335">
        <v>181.3</v>
      </c>
      <c r="O335">
        <v>166.2</v>
      </c>
      <c r="P335">
        <v>180.9</v>
      </c>
      <c r="Q335" s="3">
        <v>170.8</v>
      </c>
      <c r="R335" s="7">
        <v>193.9</v>
      </c>
      <c r="S335">
        <v>173.9</v>
      </c>
      <c r="T335">
        <v>166.5</v>
      </c>
      <c r="U335" s="5">
        <v>172.8</v>
      </c>
      <c r="V335" s="6">
        <v>167</v>
      </c>
      <c r="W335" s="4">
        <v>172.2</v>
      </c>
      <c r="X335">
        <v>164</v>
      </c>
      <c r="Y335">
        <v>174</v>
      </c>
      <c r="Z335">
        <v>162.6</v>
      </c>
      <c r="AA335">
        <v>164.4</v>
      </c>
      <c r="AB335">
        <v>166.9</v>
      </c>
      <c r="AC335">
        <v>168.8</v>
      </c>
      <c r="AD335" s="7">
        <v>166.8</v>
      </c>
      <c r="AE335">
        <v>170.1</v>
      </c>
    </row>
    <row r="336" spans="1:31" x14ac:dyDescent="0.3">
      <c r="A336" t="s">
        <v>30</v>
      </c>
      <c r="B336">
        <v>2022</v>
      </c>
      <c r="C336" t="s">
        <v>38</v>
      </c>
      <c r="D336" s="10" t="str">
        <f xml:space="preserve"> _xlfn.CONCAT(Table1[[#This Row],[Month]],",",Table1[[#This Row],[Year]])</f>
        <v>May,2022</v>
      </c>
      <c r="E336">
        <v>152.9</v>
      </c>
      <c r="F336">
        <v>214.7</v>
      </c>
      <c r="G336">
        <v>161.4</v>
      </c>
      <c r="H336">
        <v>164.6</v>
      </c>
      <c r="I336">
        <v>209.9</v>
      </c>
      <c r="J336">
        <v>168</v>
      </c>
      <c r="K336">
        <v>160.4</v>
      </c>
      <c r="L336">
        <v>165</v>
      </c>
      <c r="M336">
        <v>118.9</v>
      </c>
      <c r="N336">
        <v>186.6</v>
      </c>
      <c r="O336">
        <v>173.2</v>
      </c>
      <c r="P336">
        <v>180.4</v>
      </c>
      <c r="Q336" s="3">
        <v>170.8</v>
      </c>
      <c r="R336" s="7">
        <v>192.9</v>
      </c>
      <c r="S336">
        <v>179.3</v>
      </c>
      <c r="T336">
        <v>177.2</v>
      </c>
      <c r="U336" s="5">
        <v>179</v>
      </c>
      <c r="V336" s="6" t="s">
        <v>32</v>
      </c>
      <c r="W336" s="4">
        <v>175.3</v>
      </c>
      <c r="X336">
        <v>168.9</v>
      </c>
      <c r="Y336">
        <v>177.7</v>
      </c>
      <c r="Z336">
        <v>167.1</v>
      </c>
      <c r="AA336">
        <v>167.6</v>
      </c>
      <c r="AB336">
        <v>171.8</v>
      </c>
      <c r="AC336">
        <v>168.5</v>
      </c>
      <c r="AD336" s="7">
        <v>170.9</v>
      </c>
      <c r="AE336">
        <v>172.5</v>
      </c>
    </row>
    <row r="337" spans="1:31" x14ac:dyDescent="0.3">
      <c r="A337" t="s">
        <v>33</v>
      </c>
      <c r="B337">
        <v>2022</v>
      </c>
      <c r="C337" t="s">
        <v>38</v>
      </c>
      <c r="D337" s="10" t="str">
        <f xml:space="preserve"> _xlfn.CONCAT(Table1[[#This Row],[Month]],",",Table1[[#This Row],[Year]])</f>
        <v>May,2022</v>
      </c>
      <c r="E337">
        <v>156.69999999999999</v>
      </c>
      <c r="F337">
        <v>221.2</v>
      </c>
      <c r="G337">
        <v>164.1</v>
      </c>
      <c r="H337">
        <v>165.4</v>
      </c>
      <c r="I337">
        <v>189.5</v>
      </c>
      <c r="J337">
        <v>174.5</v>
      </c>
      <c r="K337">
        <v>203.2</v>
      </c>
      <c r="L337">
        <v>164.1</v>
      </c>
      <c r="M337">
        <v>121.2</v>
      </c>
      <c r="N337">
        <v>181.4</v>
      </c>
      <c r="O337">
        <v>158.5</v>
      </c>
      <c r="P337">
        <v>184.9</v>
      </c>
      <c r="Q337" s="3">
        <v>177.5</v>
      </c>
      <c r="R337" s="7">
        <v>197.5</v>
      </c>
      <c r="S337">
        <v>170</v>
      </c>
      <c r="T337">
        <v>155.9</v>
      </c>
      <c r="U337" s="5">
        <v>167.8</v>
      </c>
      <c r="V337" s="6">
        <v>167.5</v>
      </c>
      <c r="W337" s="4">
        <v>173.5</v>
      </c>
      <c r="X337">
        <v>161.1</v>
      </c>
      <c r="Y337">
        <v>170.1</v>
      </c>
      <c r="Z337">
        <v>159.4</v>
      </c>
      <c r="AA337">
        <v>163.19999999999999</v>
      </c>
      <c r="AB337">
        <v>165.2</v>
      </c>
      <c r="AC337">
        <v>168.2</v>
      </c>
      <c r="AD337" s="7">
        <v>163.80000000000001</v>
      </c>
      <c r="AE337">
        <v>170.8</v>
      </c>
    </row>
    <row r="338" spans="1:31" x14ac:dyDescent="0.3">
      <c r="A338" t="s">
        <v>34</v>
      </c>
      <c r="B338">
        <v>2022</v>
      </c>
      <c r="C338" t="s">
        <v>38</v>
      </c>
      <c r="D338" s="10" t="str">
        <f xml:space="preserve"> _xlfn.CONCAT(Table1[[#This Row],[Month]],",",Table1[[#This Row],[Year]])</f>
        <v>May,2022</v>
      </c>
      <c r="E338">
        <v>154.1</v>
      </c>
      <c r="F338">
        <v>217</v>
      </c>
      <c r="G338">
        <v>162.4</v>
      </c>
      <c r="H338">
        <v>164.9</v>
      </c>
      <c r="I338">
        <v>202.4</v>
      </c>
      <c r="J338">
        <v>171</v>
      </c>
      <c r="K338">
        <v>174.9</v>
      </c>
      <c r="L338">
        <v>164.7</v>
      </c>
      <c r="M338">
        <v>119.7</v>
      </c>
      <c r="N338">
        <v>184.9</v>
      </c>
      <c r="O338">
        <v>167.1</v>
      </c>
      <c r="P338">
        <v>182.5</v>
      </c>
      <c r="Q338" s="3">
        <v>173.3</v>
      </c>
      <c r="R338" s="7">
        <v>194.1</v>
      </c>
      <c r="S338">
        <v>175.6</v>
      </c>
      <c r="T338">
        <v>168.4</v>
      </c>
      <c r="U338" s="5">
        <v>174.6</v>
      </c>
      <c r="V338" s="6">
        <v>167.5</v>
      </c>
      <c r="W338" s="4">
        <v>174.6</v>
      </c>
      <c r="X338">
        <v>165.2</v>
      </c>
      <c r="Y338">
        <v>174.8</v>
      </c>
      <c r="Z338">
        <v>163</v>
      </c>
      <c r="AA338">
        <v>165.1</v>
      </c>
      <c r="AB338">
        <v>167.9</v>
      </c>
      <c r="AC338">
        <v>168.4</v>
      </c>
      <c r="AD338" s="7">
        <v>167.5</v>
      </c>
      <c r="AE338">
        <v>171.7</v>
      </c>
    </row>
    <row r="339" spans="1:31" x14ac:dyDescent="0.3">
      <c r="A339" t="s">
        <v>30</v>
      </c>
      <c r="B339">
        <v>2022</v>
      </c>
      <c r="C339" t="s">
        <v>39</v>
      </c>
      <c r="D339" s="10" t="str">
        <f xml:space="preserve"> _xlfn.CONCAT(Table1[[#This Row],[Month]],",",Table1[[#This Row],[Year]])</f>
        <v>June,2022</v>
      </c>
      <c r="E339">
        <v>153.80000000000001</v>
      </c>
      <c r="F339">
        <v>217.2</v>
      </c>
      <c r="G339">
        <v>169.6</v>
      </c>
      <c r="H339">
        <v>165.4</v>
      </c>
      <c r="I339">
        <v>208.1</v>
      </c>
      <c r="J339">
        <v>165.8</v>
      </c>
      <c r="K339">
        <v>167.3</v>
      </c>
      <c r="L339">
        <v>164.6</v>
      </c>
      <c r="M339">
        <v>119.1</v>
      </c>
      <c r="N339">
        <v>188.9</v>
      </c>
      <c r="O339">
        <v>174.2</v>
      </c>
      <c r="P339">
        <v>181.9</v>
      </c>
      <c r="Q339" s="3">
        <v>172.4</v>
      </c>
      <c r="R339" s="7">
        <v>192.9</v>
      </c>
      <c r="S339">
        <v>180.7</v>
      </c>
      <c r="T339">
        <v>178.7</v>
      </c>
      <c r="U339" s="5">
        <v>180.4</v>
      </c>
      <c r="V339" s="6" t="s">
        <v>32</v>
      </c>
      <c r="W339" s="4">
        <v>176.7</v>
      </c>
      <c r="X339">
        <v>170.3</v>
      </c>
      <c r="Y339">
        <v>178.2</v>
      </c>
      <c r="Z339">
        <v>165.5</v>
      </c>
      <c r="AA339">
        <v>168</v>
      </c>
      <c r="AB339">
        <v>172.6</v>
      </c>
      <c r="AC339">
        <v>169.5</v>
      </c>
      <c r="AD339" s="7">
        <v>171</v>
      </c>
      <c r="AE339">
        <v>173.6</v>
      </c>
    </row>
    <row r="340" spans="1:31" x14ac:dyDescent="0.3">
      <c r="A340" t="s">
        <v>33</v>
      </c>
      <c r="B340">
        <v>2022</v>
      </c>
      <c r="C340" t="s">
        <v>39</v>
      </c>
      <c r="D340" s="10" t="str">
        <f xml:space="preserve"> _xlfn.CONCAT(Table1[[#This Row],[Month]],",",Table1[[#This Row],[Year]])</f>
        <v>June,2022</v>
      </c>
      <c r="E340">
        <v>157.5</v>
      </c>
      <c r="F340">
        <v>223.4</v>
      </c>
      <c r="G340">
        <v>172.8</v>
      </c>
      <c r="H340">
        <v>166.4</v>
      </c>
      <c r="I340">
        <v>188.6</v>
      </c>
      <c r="J340">
        <v>174.1</v>
      </c>
      <c r="K340">
        <v>211.5</v>
      </c>
      <c r="L340">
        <v>163.6</v>
      </c>
      <c r="M340">
        <v>121.4</v>
      </c>
      <c r="N340">
        <v>183.5</v>
      </c>
      <c r="O340">
        <v>159.1</v>
      </c>
      <c r="P340">
        <v>186.3</v>
      </c>
      <c r="Q340" s="3">
        <v>179.3</v>
      </c>
      <c r="R340" s="7">
        <v>198.3</v>
      </c>
      <c r="S340">
        <v>171.6</v>
      </c>
      <c r="T340">
        <v>157.4</v>
      </c>
      <c r="U340" s="5">
        <v>169.4</v>
      </c>
      <c r="V340" s="6">
        <v>166.8</v>
      </c>
      <c r="W340" s="4">
        <v>174.9</v>
      </c>
      <c r="X340">
        <v>162.1</v>
      </c>
      <c r="Y340">
        <v>170.9</v>
      </c>
      <c r="Z340">
        <v>157.19999999999999</v>
      </c>
      <c r="AA340">
        <v>164.1</v>
      </c>
      <c r="AB340">
        <v>166.5</v>
      </c>
      <c r="AC340">
        <v>169.2</v>
      </c>
      <c r="AD340" s="7">
        <v>163.80000000000001</v>
      </c>
      <c r="AE340">
        <v>171.4</v>
      </c>
    </row>
    <row r="341" spans="1:31" x14ac:dyDescent="0.3">
      <c r="A341" t="s">
        <v>34</v>
      </c>
      <c r="B341">
        <v>2022</v>
      </c>
      <c r="C341" t="s">
        <v>39</v>
      </c>
      <c r="D341" s="10" t="str">
        <f xml:space="preserve"> _xlfn.CONCAT(Table1[[#This Row],[Month]],",",Table1[[#This Row],[Year]])</f>
        <v>June,2022</v>
      </c>
      <c r="E341">
        <v>155</v>
      </c>
      <c r="F341">
        <v>219.4</v>
      </c>
      <c r="G341">
        <v>170.8</v>
      </c>
      <c r="H341">
        <v>165.8</v>
      </c>
      <c r="I341">
        <v>200.9</v>
      </c>
      <c r="J341">
        <v>169.7</v>
      </c>
      <c r="K341">
        <v>182.3</v>
      </c>
      <c r="L341">
        <v>164.3</v>
      </c>
      <c r="M341">
        <v>119.9</v>
      </c>
      <c r="N341">
        <v>187.1</v>
      </c>
      <c r="O341">
        <v>167.9</v>
      </c>
      <c r="P341">
        <v>183.9</v>
      </c>
      <c r="Q341" s="3">
        <v>174.9</v>
      </c>
      <c r="R341" s="7">
        <v>194.3</v>
      </c>
      <c r="S341">
        <v>177.1</v>
      </c>
      <c r="T341">
        <v>169.9</v>
      </c>
      <c r="U341" s="5">
        <v>176</v>
      </c>
      <c r="V341" s="6">
        <v>166.8</v>
      </c>
      <c r="W341" s="4">
        <v>176</v>
      </c>
      <c r="X341">
        <v>166.4</v>
      </c>
      <c r="Y341">
        <v>175.4</v>
      </c>
      <c r="Z341">
        <v>161.1</v>
      </c>
      <c r="AA341">
        <v>165.8</v>
      </c>
      <c r="AB341">
        <v>169</v>
      </c>
      <c r="AC341">
        <v>169.4</v>
      </c>
      <c r="AD341" s="7">
        <v>167.5</v>
      </c>
      <c r="AE341">
        <v>172.6</v>
      </c>
    </row>
    <row r="342" spans="1:31" x14ac:dyDescent="0.3">
      <c r="A342" t="s">
        <v>30</v>
      </c>
      <c r="B342">
        <v>2022</v>
      </c>
      <c r="C342" t="s">
        <v>40</v>
      </c>
      <c r="D342" s="10" t="str">
        <f xml:space="preserve"> _xlfn.CONCAT(Table1[[#This Row],[Month]],",",Table1[[#This Row],[Year]])</f>
        <v>July,2022</v>
      </c>
      <c r="E342">
        <v>155.19999999999999</v>
      </c>
      <c r="F342">
        <v>210.8</v>
      </c>
      <c r="G342">
        <v>174.3</v>
      </c>
      <c r="H342">
        <v>166.3</v>
      </c>
      <c r="I342">
        <v>202.2</v>
      </c>
      <c r="J342">
        <v>169.6</v>
      </c>
      <c r="K342">
        <v>168.6</v>
      </c>
      <c r="L342">
        <v>164.4</v>
      </c>
      <c r="M342">
        <v>119.2</v>
      </c>
      <c r="N342">
        <v>191.8</v>
      </c>
      <c r="O342">
        <v>174.5</v>
      </c>
      <c r="P342">
        <v>183.1</v>
      </c>
      <c r="Q342" s="3">
        <v>172.5</v>
      </c>
      <c r="R342" s="7">
        <v>193.2</v>
      </c>
      <c r="S342">
        <v>182</v>
      </c>
      <c r="T342">
        <v>180.3</v>
      </c>
      <c r="U342" s="5">
        <v>181.7</v>
      </c>
      <c r="V342" s="6" t="s">
        <v>32</v>
      </c>
      <c r="W342" s="4">
        <v>179.6</v>
      </c>
      <c r="X342">
        <v>171.3</v>
      </c>
      <c r="Y342">
        <v>178.8</v>
      </c>
      <c r="Z342">
        <v>166.3</v>
      </c>
      <c r="AA342">
        <v>168.6</v>
      </c>
      <c r="AB342">
        <v>174.7</v>
      </c>
      <c r="AC342">
        <v>169.7</v>
      </c>
      <c r="AD342" s="7">
        <v>171.8</v>
      </c>
      <c r="AE342">
        <v>174.3</v>
      </c>
    </row>
    <row r="343" spans="1:31" x14ac:dyDescent="0.3">
      <c r="A343" t="s">
        <v>33</v>
      </c>
      <c r="B343">
        <v>2022</v>
      </c>
      <c r="C343" t="s">
        <v>40</v>
      </c>
      <c r="D343" s="10" t="str">
        <f xml:space="preserve"> _xlfn.CONCAT(Table1[[#This Row],[Month]],",",Table1[[#This Row],[Year]])</f>
        <v>July,2022</v>
      </c>
      <c r="E343">
        <v>159.30000000000001</v>
      </c>
      <c r="F343">
        <v>217.1</v>
      </c>
      <c r="G343">
        <v>176.6</v>
      </c>
      <c r="H343">
        <v>167.1</v>
      </c>
      <c r="I343">
        <v>184.8</v>
      </c>
      <c r="J343">
        <v>179.5</v>
      </c>
      <c r="K343">
        <v>208.5</v>
      </c>
      <c r="L343">
        <v>164</v>
      </c>
      <c r="M343">
        <v>121.5</v>
      </c>
      <c r="N343">
        <v>186.3</v>
      </c>
      <c r="O343">
        <v>159.80000000000001</v>
      </c>
      <c r="P343">
        <v>187.7</v>
      </c>
      <c r="Q343" s="3">
        <v>179.4</v>
      </c>
      <c r="R343" s="7">
        <v>198.6</v>
      </c>
      <c r="S343">
        <v>172.7</v>
      </c>
      <c r="T343">
        <v>158.69999999999999</v>
      </c>
      <c r="U343" s="5">
        <v>170.6</v>
      </c>
      <c r="V343" s="6">
        <v>167.8</v>
      </c>
      <c r="W343" s="4">
        <v>179.5</v>
      </c>
      <c r="X343">
        <v>163.1</v>
      </c>
      <c r="Y343">
        <v>171.7</v>
      </c>
      <c r="Z343">
        <v>157.4</v>
      </c>
      <c r="AA343">
        <v>164.6</v>
      </c>
      <c r="AB343">
        <v>169.1</v>
      </c>
      <c r="AC343">
        <v>169.8</v>
      </c>
      <c r="AD343" s="7">
        <v>164.7</v>
      </c>
      <c r="AE343">
        <v>172.3</v>
      </c>
    </row>
    <row r="344" spans="1:31" x14ac:dyDescent="0.3">
      <c r="A344" t="s">
        <v>34</v>
      </c>
      <c r="B344">
        <v>2022</v>
      </c>
      <c r="C344" t="s">
        <v>40</v>
      </c>
      <c r="D344" s="10" t="str">
        <f xml:space="preserve"> _xlfn.CONCAT(Table1[[#This Row],[Month]],",",Table1[[#This Row],[Year]])</f>
        <v>July,2022</v>
      </c>
      <c r="E344">
        <v>156.5</v>
      </c>
      <c r="F344">
        <v>213</v>
      </c>
      <c r="G344">
        <v>175.2</v>
      </c>
      <c r="H344">
        <v>166.6</v>
      </c>
      <c r="I344">
        <v>195.8</v>
      </c>
      <c r="J344">
        <v>174.2</v>
      </c>
      <c r="K344">
        <v>182.1</v>
      </c>
      <c r="L344">
        <v>164.3</v>
      </c>
      <c r="M344">
        <v>120</v>
      </c>
      <c r="N344">
        <v>190</v>
      </c>
      <c r="O344">
        <v>168.4</v>
      </c>
      <c r="P344">
        <v>185.2</v>
      </c>
      <c r="Q344" s="3">
        <v>175</v>
      </c>
      <c r="R344" s="7">
        <v>194.6</v>
      </c>
      <c r="S344">
        <v>178.3</v>
      </c>
      <c r="T344">
        <v>171.3</v>
      </c>
      <c r="U344" s="5">
        <v>177.3</v>
      </c>
      <c r="V344" s="6">
        <v>167.8</v>
      </c>
      <c r="W344" s="4">
        <v>179.6</v>
      </c>
      <c r="X344">
        <v>167.4</v>
      </c>
      <c r="Y344">
        <v>176.1</v>
      </c>
      <c r="Z344">
        <v>161.6</v>
      </c>
      <c r="AA344">
        <v>166.3</v>
      </c>
      <c r="AB344">
        <v>171.4</v>
      </c>
      <c r="AC344">
        <v>169.7</v>
      </c>
      <c r="AD344" s="7">
        <v>168.4</v>
      </c>
      <c r="AE344">
        <v>173.4</v>
      </c>
    </row>
    <row r="345" spans="1:31" x14ac:dyDescent="0.3">
      <c r="A345" t="s">
        <v>30</v>
      </c>
      <c r="B345">
        <v>2022</v>
      </c>
      <c r="C345" t="s">
        <v>41</v>
      </c>
      <c r="D345" s="10" t="str">
        <f xml:space="preserve"> _xlfn.CONCAT(Table1[[#This Row],[Month]],",",Table1[[#This Row],[Year]])</f>
        <v>August,2022</v>
      </c>
      <c r="E345">
        <v>159.5</v>
      </c>
      <c r="F345">
        <v>204.1</v>
      </c>
      <c r="G345">
        <v>168.3</v>
      </c>
      <c r="H345">
        <v>167.9</v>
      </c>
      <c r="I345">
        <v>198.1</v>
      </c>
      <c r="J345">
        <v>169.2</v>
      </c>
      <c r="K345">
        <v>173.1</v>
      </c>
      <c r="L345">
        <v>167.1</v>
      </c>
      <c r="M345">
        <v>120.2</v>
      </c>
      <c r="N345">
        <v>195.6</v>
      </c>
      <c r="O345">
        <v>174.8</v>
      </c>
      <c r="P345">
        <v>184</v>
      </c>
      <c r="Q345" s="3">
        <v>173.9</v>
      </c>
      <c r="R345" s="7">
        <v>193.7</v>
      </c>
      <c r="S345">
        <v>183.2</v>
      </c>
      <c r="T345">
        <v>181.7</v>
      </c>
      <c r="U345" s="5">
        <v>183</v>
      </c>
      <c r="V345" s="6" t="s">
        <v>32</v>
      </c>
      <c r="W345" s="4">
        <v>179.1</v>
      </c>
      <c r="X345">
        <v>172.3</v>
      </c>
      <c r="Y345">
        <v>179.4</v>
      </c>
      <c r="Z345">
        <v>166.6</v>
      </c>
      <c r="AA345">
        <v>169.3</v>
      </c>
      <c r="AB345">
        <v>175.7</v>
      </c>
      <c r="AC345">
        <v>171.1</v>
      </c>
      <c r="AD345" s="7">
        <v>172.6</v>
      </c>
      <c r="AE345">
        <v>175.3</v>
      </c>
    </row>
    <row r="346" spans="1:31" x14ac:dyDescent="0.3">
      <c r="A346" t="s">
        <v>33</v>
      </c>
      <c r="B346">
        <v>2022</v>
      </c>
      <c r="C346" t="s">
        <v>41</v>
      </c>
      <c r="D346" s="10" t="str">
        <f xml:space="preserve"> _xlfn.CONCAT(Table1[[#This Row],[Month]],",",Table1[[#This Row],[Year]])</f>
        <v>August,2022</v>
      </c>
      <c r="E346">
        <v>162.1</v>
      </c>
      <c r="F346">
        <v>210.9</v>
      </c>
      <c r="G346">
        <v>170.6</v>
      </c>
      <c r="H346">
        <v>168.4</v>
      </c>
      <c r="I346">
        <v>182.5</v>
      </c>
      <c r="J346">
        <v>177.1</v>
      </c>
      <c r="K346">
        <v>213.1</v>
      </c>
      <c r="L346">
        <v>167.3</v>
      </c>
      <c r="M346">
        <v>122.2</v>
      </c>
      <c r="N346">
        <v>189.7</v>
      </c>
      <c r="O346">
        <v>160.5</v>
      </c>
      <c r="P346">
        <v>188.9</v>
      </c>
      <c r="Q346" s="3">
        <v>180.4</v>
      </c>
      <c r="R346" s="7">
        <v>198.7</v>
      </c>
      <c r="S346">
        <v>173.7</v>
      </c>
      <c r="T346">
        <v>160</v>
      </c>
      <c r="U346" s="5">
        <v>171.6</v>
      </c>
      <c r="V346" s="6">
        <v>169</v>
      </c>
      <c r="W346" s="4">
        <v>178.4</v>
      </c>
      <c r="X346">
        <v>164.2</v>
      </c>
      <c r="Y346">
        <v>172.6</v>
      </c>
      <c r="Z346">
        <v>157.69999999999999</v>
      </c>
      <c r="AA346">
        <v>165.1</v>
      </c>
      <c r="AB346">
        <v>169.9</v>
      </c>
      <c r="AC346">
        <v>171.4</v>
      </c>
      <c r="AD346" s="7">
        <v>165.4</v>
      </c>
      <c r="AE346">
        <v>173.1</v>
      </c>
    </row>
    <row r="347" spans="1:31" x14ac:dyDescent="0.3">
      <c r="A347" t="s">
        <v>34</v>
      </c>
      <c r="B347">
        <v>2022</v>
      </c>
      <c r="C347" t="s">
        <v>41</v>
      </c>
      <c r="D347" s="10" t="str">
        <f xml:space="preserve"> _xlfn.CONCAT(Table1[[#This Row],[Month]],",",Table1[[#This Row],[Year]])</f>
        <v>August,2022</v>
      </c>
      <c r="E347">
        <v>160.30000000000001</v>
      </c>
      <c r="F347">
        <v>206.5</v>
      </c>
      <c r="G347">
        <v>169.2</v>
      </c>
      <c r="H347">
        <v>168.1</v>
      </c>
      <c r="I347">
        <v>192.4</v>
      </c>
      <c r="J347">
        <v>172.9</v>
      </c>
      <c r="K347">
        <v>186.7</v>
      </c>
      <c r="L347">
        <v>167.2</v>
      </c>
      <c r="M347">
        <v>120.9</v>
      </c>
      <c r="N347">
        <v>193.6</v>
      </c>
      <c r="O347">
        <v>168.8</v>
      </c>
      <c r="P347">
        <v>186.3</v>
      </c>
      <c r="Q347" s="3">
        <v>176.3</v>
      </c>
      <c r="R347" s="7">
        <v>195</v>
      </c>
      <c r="S347">
        <v>179.5</v>
      </c>
      <c r="T347">
        <v>172.7</v>
      </c>
      <c r="U347" s="5">
        <v>178.5</v>
      </c>
      <c r="V347" s="6">
        <v>169</v>
      </c>
      <c r="W347" s="4">
        <v>178.8</v>
      </c>
      <c r="X347">
        <v>168.5</v>
      </c>
      <c r="Y347">
        <v>176.8</v>
      </c>
      <c r="Z347">
        <v>161.9</v>
      </c>
      <c r="AA347">
        <v>166.9</v>
      </c>
      <c r="AB347">
        <v>172.3</v>
      </c>
      <c r="AC347">
        <v>171.2</v>
      </c>
      <c r="AD347" s="7">
        <v>169.1</v>
      </c>
      <c r="AE347">
        <v>174.3</v>
      </c>
    </row>
    <row r="348" spans="1:31" x14ac:dyDescent="0.3">
      <c r="A348" t="s">
        <v>30</v>
      </c>
      <c r="B348">
        <v>2022</v>
      </c>
      <c r="C348" t="s">
        <v>42</v>
      </c>
      <c r="D348" s="10" t="str">
        <f xml:space="preserve"> _xlfn.CONCAT(Table1[[#This Row],[Month]],",",Table1[[#This Row],[Year]])</f>
        <v>September,2022</v>
      </c>
      <c r="E348">
        <v>162.9</v>
      </c>
      <c r="F348">
        <v>206.7</v>
      </c>
      <c r="G348">
        <v>169</v>
      </c>
      <c r="H348">
        <v>169.5</v>
      </c>
      <c r="I348">
        <v>194.1</v>
      </c>
      <c r="J348">
        <v>164.1</v>
      </c>
      <c r="K348">
        <v>176.9</v>
      </c>
      <c r="L348">
        <v>169</v>
      </c>
      <c r="M348">
        <v>120.8</v>
      </c>
      <c r="N348">
        <v>199.1</v>
      </c>
      <c r="O348">
        <v>175.4</v>
      </c>
      <c r="P348">
        <v>184.8</v>
      </c>
      <c r="Q348" s="3">
        <v>175.5</v>
      </c>
      <c r="R348" s="7">
        <v>194.5</v>
      </c>
      <c r="S348">
        <v>184.7</v>
      </c>
      <c r="T348">
        <v>183.3</v>
      </c>
      <c r="U348" s="5">
        <v>184.5</v>
      </c>
      <c r="V348" s="6" t="s">
        <v>32</v>
      </c>
      <c r="W348" s="4">
        <v>179.7</v>
      </c>
      <c r="X348">
        <v>173.6</v>
      </c>
      <c r="Y348">
        <v>180.2</v>
      </c>
      <c r="Z348">
        <v>166.9</v>
      </c>
      <c r="AA348">
        <v>170</v>
      </c>
      <c r="AB348">
        <v>176.2</v>
      </c>
      <c r="AC348">
        <v>170.8</v>
      </c>
      <c r="AD348" s="7">
        <v>173.1</v>
      </c>
      <c r="AE348">
        <v>176.4</v>
      </c>
    </row>
    <row r="349" spans="1:31" x14ac:dyDescent="0.3">
      <c r="A349" t="s">
        <v>33</v>
      </c>
      <c r="B349">
        <v>2022</v>
      </c>
      <c r="C349" t="s">
        <v>42</v>
      </c>
      <c r="D349" s="10" t="str">
        <f xml:space="preserve"> _xlfn.CONCAT(Table1[[#This Row],[Month]],",",Table1[[#This Row],[Year]])</f>
        <v>September,2022</v>
      </c>
      <c r="E349">
        <v>164.9</v>
      </c>
      <c r="F349">
        <v>213.7</v>
      </c>
      <c r="G349">
        <v>170.9</v>
      </c>
      <c r="H349">
        <v>170.1</v>
      </c>
      <c r="I349">
        <v>179.3</v>
      </c>
      <c r="J349">
        <v>167.5</v>
      </c>
      <c r="K349">
        <v>220.8</v>
      </c>
      <c r="L349">
        <v>169.2</v>
      </c>
      <c r="M349">
        <v>123.1</v>
      </c>
      <c r="N349">
        <v>193.6</v>
      </c>
      <c r="O349">
        <v>161.1</v>
      </c>
      <c r="P349">
        <v>190.4</v>
      </c>
      <c r="Q349" s="3">
        <v>181.8</v>
      </c>
      <c r="R349" s="7">
        <v>199.7</v>
      </c>
      <c r="S349">
        <v>175</v>
      </c>
      <c r="T349">
        <v>161.69999999999999</v>
      </c>
      <c r="U349" s="5">
        <v>173</v>
      </c>
      <c r="V349" s="6">
        <v>169.5</v>
      </c>
      <c r="W349" s="4">
        <v>179.2</v>
      </c>
      <c r="X349">
        <v>165</v>
      </c>
      <c r="Y349">
        <v>173.8</v>
      </c>
      <c r="Z349">
        <v>158.19999999999999</v>
      </c>
      <c r="AA349">
        <v>165.8</v>
      </c>
      <c r="AB349">
        <v>170.9</v>
      </c>
      <c r="AC349">
        <v>171.1</v>
      </c>
      <c r="AD349" s="7">
        <v>166.1</v>
      </c>
      <c r="AE349">
        <v>174.1</v>
      </c>
    </row>
    <row r="350" spans="1:31" x14ac:dyDescent="0.3">
      <c r="A350" t="s">
        <v>34</v>
      </c>
      <c r="B350">
        <v>2022</v>
      </c>
      <c r="C350" t="s">
        <v>42</v>
      </c>
      <c r="D350" s="10" t="str">
        <f xml:space="preserve"> _xlfn.CONCAT(Table1[[#This Row],[Month]],",",Table1[[#This Row],[Year]])</f>
        <v>September,2022</v>
      </c>
      <c r="E350">
        <v>163.5</v>
      </c>
      <c r="F350">
        <v>209.2</v>
      </c>
      <c r="G350">
        <v>169.7</v>
      </c>
      <c r="H350">
        <v>169.7</v>
      </c>
      <c r="I350">
        <v>188.7</v>
      </c>
      <c r="J350">
        <v>165.7</v>
      </c>
      <c r="K350">
        <v>191.8</v>
      </c>
      <c r="L350">
        <v>169.1</v>
      </c>
      <c r="M350">
        <v>121.6</v>
      </c>
      <c r="N350">
        <v>197.3</v>
      </c>
      <c r="O350">
        <v>169.4</v>
      </c>
      <c r="P350">
        <v>187.4</v>
      </c>
      <c r="Q350" s="3">
        <v>177.8</v>
      </c>
      <c r="R350" s="7">
        <v>195.9</v>
      </c>
      <c r="S350">
        <v>180.9</v>
      </c>
      <c r="T350">
        <v>174.3</v>
      </c>
      <c r="U350" s="5">
        <v>179.9</v>
      </c>
      <c r="V350" s="6">
        <v>169.5</v>
      </c>
      <c r="W350" s="4">
        <v>179.5</v>
      </c>
      <c r="X350">
        <v>169.5</v>
      </c>
      <c r="Y350">
        <v>177.8</v>
      </c>
      <c r="Z350">
        <v>162.30000000000001</v>
      </c>
      <c r="AA350">
        <v>167.6</v>
      </c>
      <c r="AB350">
        <v>173.1</v>
      </c>
      <c r="AC350">
        <v>170.9</v>
      </c>
      <c r="AD350" s="7">
        <v>169.7</v>
      </c>
      <c r="AE350">
        <v>175.3</v>
      </c>
    </row>
    <row r="351" spans="1:31" x14ac:dyDescent="0.3">
      <c r="A351" t="s">
        <v>30</v>
      </c>
      <c r="B351">
        <v>2022</v>
      </c>
      <c r="C351" t="s">
        <v>43</v>
      </c>
      <c r="D351" s="10" t="str">
        <f xml:space="preserve"> _xlfn.CONCAT(Table1[[#This Row],[Month]],",",Table1[[#This Row],[Year]])</f>
        <v>October,2022</v>
      </c>
      <c r="E351">
        <v>164.7</v>
      </c>
      <c r="F351">
        <v>208.8</v>
      </c>
      <c r="G351">
        <v>170.3</v>
      </c>
      <c r="H351">
        <v>170.9</v>
      </c>
      <c r="I351">
        <v>191.6</v>
      </c>
      <c r="J351">
        <v>162.19999999999999</v>
      </c>
      <c r="K351">
        <v>184.8</v>
      </c>
      <c r="L351">
        <v>169.7</v>
      </c>
      <c r="M351">
        <v>121.1</v>
      </c>
      <c r="N351">
        <v>201.6</v>
      </c>
      <c r="O351">
        <v>175.8</v>
      </c>
      <c r="P351">
        <v>185.6</v>
      </c>
      <c r="Q351" s="3">
        <v>177.4</v>
      </c>
      <c r="R351" s="7">
        <v>194.9</v>
      </c>
      <c r="S351">
        <v>186.1</v>
      </c>
      <c r="T351">
        <v>184.4</v>
      </c>
      <c r="U351" s="5">
        <v>185.9</v>
      </c>
      <c r="V351" s="6" t="s">
        <v>32</v>
      </c>
      <c r="W351" s="4">
        <v>180.8</v>
      </c>
      <c r="X351">
        <v>174.4</v>
      </c>
      <c r="Y351">
        <v>181.2</v>
      </c>
      <c r="Z351">
        <v>167.4</v>
      </c>
      <c r="AA351">
        <v>170.6</v>
      </c>
      <c r="AB351">
        <v>176.5</v>
      </c>
      <c r="AC351">
        <v>172</v>
      </c>
      <c r="AD351" s="7">
        <v>173.9</v>
      </c>
      <c r="AE351">
        <v>177.9</v>
      </c>
    </row>
    <row r="352" spans="1:31" x14ac:dyDescent="0.3">
      <c r="A352" t="s">
        <v>33</v>
      </c>
      <c r="B352">
        <v>2022</v>
      </c>
      <c r="C352" t="s">
        <v>43</v>
      </c>
      <c r="D352" s="10" t="str">
        <f xml:space="preserve"> _xlfn.CONCAT(Table1[[#This Row],[Month]],",",Table1[[#This Row],[Year]])</f>
        <v>October,2022</v>
      </c>
      <c r="E352">
        <v>166.4</v>
      </c>
      <c r="F352">
        <v>214.9</v>
      </c>
      <c r="G352">
        <v>171.9</v>
      </c>
      <c r="H352">
        <v>171</v>
      </c>
      <c r="I352">
        <v>177.7</v>
      </c>
      <c r="J352">
        <v>165.7</v>
      </c>
      <c r="K352">
        <v>228.6</v>
      </c>
      <c r="L352">
        <v>169.9</v>
      </c>
      <c r="M352">
        <v>123.4</v>
      </c>
      <c r="N352">
        <v>196.4</v>
      </c>
      <c r="O352">
        <v>161.6</v>
      </c>
      <c r="P352">
        <v>191.5</v>
      </c>
      <c r="Q352" s="3">
        <v>183.3</v>
      </c>
      <c r="R352" s="7">
        <v>200.1</v>
      </c>
      <c r="S352">
        <v>175.5</v>
      </c>
      <c r="T352">
        <v>162.6</v>
      </c>
      <c r="U352" s="5">
        <v>173.6</v>
      </c>
      <c r="V352" s="6">
        <v>171.2</v>
      </c>
      <c r="W352" s="4">
        <v>180</v>
      </c>
      <c r="X352">
        <v>166</v>
      </c>
      <c r="Y352">
        <v>174.7</v>
      </c>
      <c r="Z352">
        <v>158.80000000000001</v>
      </c>
      <c r="AA352">
        <v>166.3</v>
      </c>
      <c r="AB352">
        <v>171.2</v>
      </c>
      <c r="AC352">
        <v>172.3</v>
      </c>
      <c r="AD352" s="7">
        <v>166.8</v>
      </c>
      <c r="AE352">
        <v>175.3</v>
      </c>
    </row>
    <row r="353" spans="1:31" x14ac:dyDescent="0.3">
      <c r="A353" t="s">
        <v>34</v>
      </c>
      <c r="B353">
        <v>2022</v>
      </c>
      <c r="C353" t="s">
        <v>43</v>
      </c>
      <c r="D353" s="10" t="str">
        <f xml:space="preserve"> _xlfn.CONCAT(Table1[[#This Row],[Month]],",",Table1[[#This Row],[Year]])</f>
        <v>October,2022</v>
      </c>
      <c r="E353">
        <v>165.2</v>
      </c>
      <c r="F353">
        <v>210.9</v>
      </c>
      <c r="G353">
        <v>170.9</v>
      </c>
      <c r="H353">
        <v>170.9</v>
      </c>
      <c r="I353">
        <v>186.5</v>
      </c>
      <c r="J353">
        <v>163.80000000000001</v>
      </c>
      <c r="K353">
        <v>199.7</v>
      </c>
      <c r="L353">
        <v>169.8</v>
      </c>
      <c r="M353">
        <v>121.9</v>
      </c>
      <c r="N353">
        <v>199.9</v>
      </c>
      <c r="O353">
        <v>169.9</v>
      </c>
      <c r="P353">
        <v>188.3</v>
      </c>
      <c r="Q353" s="3">
        <v>179.6</v>
      </c>
      <c r="R353" s="7">
        <v>196.3</v>
      </c>
      <c r="S353">
        <v>181.9</v>
      </c>
      <c r="T353">
        <v>175.3</v>
      </c>
      <c r="U353" s="5">
        <v>181</v>
      </c>
      <c r="V353" s="6">
        <v>171.2</v>
      </c>
      <c r="W353" s="4">
        <v>180.5</v>
      </c>
      <c r="X353">
        <v>170.4</v>
      </c>
      <c r="Y353">
        <v>178.7</v>
      </c>
      <c r="Z353">
        <v>162.9</v>
      </c>
      <c r="AA353">
        <v>168.2</v>
      </c>
      <c r="AB353">
        <v>173.4</v>
      </c>
      <c r="AC353">
        <v>172.1</v>
      </c>
      <c r="AD353" s="7">
        <v>170.5</v>
      </c>
      <c r="AE353">
        <v>176.7</v>
      </c>
    </row>
    <row r="354" spans="1:31" x14ac:dyDescent="0.3">
      <c r="A354" t="s">
        <v>30</v>
      </c>
      <c r="B354">
        <v>2022</v>
      </c>
      <c r="C354" t="s">
        <v>45</v>
      </c>
      <c r="D354" s="10" t="str">
        <f xml:space="preserve"> _xlfn.CONCAT(Table1[[#This Row],[Month]],",",Table1[[#This Row],[Year]])</f>
        <v>November,2022</v>
      </c>
      <c r="E354">
        <v>166.9</v>
      </c>
      <c r="F354">
        <v>207.2</v>
      </c>
      <c r="G354">
        <v>180.2</v>
      </c>
      <c r="H354">
        <v>172.3</v>
      </c>
      <c r="I354">
        <v>194</v>
      </c>
      <c r="J354">
        <v>159.1</v>
      </c>
      <c r="K354">
        <v>171.6</v>
      </c>
      <c r="L354">
        <v>170.2</v>
      </c>
      <c r="M354">
        <v>121.5</v>
      </c>
      <c r="N354">
        <v>204.8</v>
      </c>
      <c r="O354">
        <v>176.4</v>
      </c>
      <c r="P354">
        <v>186.9</v>
      </c>
      <c r="Q354" s="3">
        <v>176.6</v>
      </c>
      <c r="R354" s="7">
        <v>195.5</v>
      </c>
      <c r="S354">
        <v>187.2</v>
      </c>
      <c r="T354">
        <v>185.2</v>
      </c>
      <c r="U354" s="5">
        <v>186.9</v>
      </c>
      <c r="V354" s="6" t="s">
        <v>32</v>
      </c>
      <c r="W354" s="4">
        <v>181.9</v>
      </c>
      <c r="X354">
        <v>175.5</v>
      </c>
      <c r="Y354">
        <v>182.3</v>
      </c>
      <c r="Z354">
        <v>167.5</v>
      </c>
      <c r="AA354">
        <v>170.8</v>
      </c>
      <c r="AB354">
        <v>176.9</v>
      </c>
      <c r="AC354">
        <v>173.4</v>
      </c>
      <c r="AD354" s="7">
        <v>174.6</v>
      </c>
      <c r="AE354">
        <v>177.8</v>
      </c>
    </row>
    <row r="355" spans="1:31" x14ac:dyDescent="0.3">
      <c r="A355" t="s">
        <v>33</v>
      </c>
      <c r="B355">
        <v>2022</v>
      </c>
      <c r="C355" t="s">
        <v>45</v>
      </c>
      <c r="D355" s="10" t="str">
        <f xml:space="preserve"> _xlfn.CONCAT(Table1[[#This Row],[Month]],",",Table1[[#This Row],[Year]])</f>
        <v>November,2022</v>
      </c>
      <c r="E355">
        <v>168.4</v>
      </c>
      <c r="F355">
        <v>213.4</v>
      </c>
      <c r="G355">
        <v>183.2</v>
      </c>
      <c r="H355">
        <v>172.3</v>
      </c>
      <c r="I355">
        <v>180</v>
      </c>
      <c r="J355">
        <v>162.6</v>
      </c>
      <c r="K355">
        <v>205.5</v>
      </c>
      <c r="L355">
        <v>171</v>
      </c>
      <c r="M355">
        <v>123.4</v>
      </c>
      <c r="N355">
        <v>198.8</v>
      </c>
      <c r="O355">
        <v>162.1</v>
      </c>
      <c r="P355">
        <v>192.4</v>
      </c>
      <c r="Q355" s="3">
        <v>181.3</v>
      </c>
      <c r="R355" s="7">
        <v>200.6</v>
      </c>
      <c r="S355">
        <v>176.7</v>
      </c>
      <c r="T355">
        <v>163.5</v>
      </c>
      <c r="U355" s="5">
        <v>174.7</v>
      </c>
      <c r="V355" s="6">
        <v>171.8</v>
      </c>
      <c r="W355" s="4">
        <v>180.3</v>
      </c>
      <c r="X355">
        <v>166.9</v>
      </c>
      <c r="Y355">
        <v>175.8</v>
      </c>
      <c r="Z355">
        <v>158.9</v>
      </c>
      <c r="AA355">
        <v>166.7</v>
      </c>
      <c r="AB355">
        <v>171.5</v>
      </c>
      <c r="AC355">
        <v>173.8</v>
      </c>
      <c r="AD355" s="7">
        <v>167.4</v>
      </c>
      <c r="AE355">
        <v>174.1</v>
      </c>
    </row>
    <row r="356" spans="1:31" x14ac:dyDescent="0.3">
      <c r="A356" t="s">
        <v>34</v>
      </c>
      <c r="B356">
        <v>2022</v>
      </c>
      <c r="C356" t="s">
        <v>45</v>
      </c>
      <c r="D356" s="10" t="str">
        <f xml:space="preserve"> _xlfn.CONCAT(Table1[[#This Row],[Month]],",",Table1[[#This Row],[Year]])</f>
        <v>November,2022</v>
      </c>
      <c r="E356">
        <v>167.4</v>
      </c>
      <c r="F356">
        <v>209.4</v>
      </c>
      <c r="G356">
        <v>181.4</v>
      </c>
      <c r="H356">
        <v>172.3</v>
      </c>
      <c r="I356">
        <v>188.9</v>
      </c>
      <c r="J356">
        <v>160.69999999999999</v>
      </c>
      <c r="K356">
        <v>183.1</v>
      </c>
      <c r="L356">
        <v>170.5</v>
      </c>
      <c r="M356">
        <v>122.1</v>
      </c>
      <c r="N356">
        <v>202.8</v>
      </c>
      <c r="O356">
        <v>170.4</v>
      </c>
      <c r="P356">
        <v>189.5</v>
      </c>
      <c r="Q356" s="3">
        <v>178.3</v>
      </c>
      <c r="R356" s="7">
        <v>196.9</v>
      </c>
      <c r="S356">
        <v>183.1</v>
      </c>
      <c r="T356">
        <v>176.2</v>
      </c>
      <c r="U356" s="5">
        <v>182.1</v>
      </c>
      <c r="V356" s="6">
        <v>171.8</v>
      </c>
      <c r="W356" s="4">
        <v>181.3</v>
      </c>
      <c r="X356">
        <v>171.4</v>
      </c>
      <c r="Y356">
        <v>179.8</v>
      </c>
      <c r="Z356">
        <v>163</v>
      </c>
      <c r="AA356">
        <v>168.5</v>
      </c>
      <c r="AB356">
        <v>173.7</v>
      </c>
      <c r="AC356">
        <v>173.6</v>
      </c>
      <c r="AD356" s="7">
        <v>171.1</v>
      </c>
      <c r="AE356">
        <v>176.5</v>
      </c>
    </row>
    <row r="357" spans="1:31" x14ac:dyDescent="0.3">
      <c r="A357" t="s">
        <v>30</v>
      </c>
      <c r="B357">
        <v>2022</v>
      </c>
      <c r="C357" t="s">
        <v>46</v>
      </c>
      <c r="D357" s="10" t="str">
        <f xml:space="preserve"> _xlfn.CONCAT(Table1[[#This Row],[Month]],",",Table1[[#This Row],[Year]])</f>
        <v>December,2022</v>
      </c>
      <c r="E357">
        <v>168.8</v>
      </c>
      <c r="F357">
        <v>206.9</v>
      </c>
      <c r="G357">
        <v>189.1</v>
      </c>
      <c r="H357">
        <v>173.4</v>
      </c>
      <c r="I357">
        <v>193.9</v>
      </c>
      <c r="J357">
        <v>156.69999999999999</v>
      </c>
      <c r="K357">
        <v>150.19999999999999</v>
      </c>
      <c r="L357">
        <v>170.5</v>
      </c>
      <c r="M357">
        <v>121.2</v>
      </c>
      <c r="N357">
        <v>207.5</v>
      </c>
      <c r="O357">
        <v>176.8</v>
      </c>
      <c r="P357">
        <v>187.7</v>
      </c>
      <c r="Q357" s="3">
        <v>174.4</v>
      </c>
      <c r="R357" s="7">
        <v>195.9</v>
      </c>
      <c r="S357">
        <v>188.1</v>
      </c>
      <c r="T357">
        <v>185.9</v>
      </c>
      <c r="U357" s="5">
        <v>187.8</v>
      </c>
      <c r="V357" s="6" t="s">
        <v>32</v>
      </c>
      <c r="W357" s="4">
        <v>182.8</v>
      </c>
      <c r="X357">
        <v>176.4</v>
      </c>
      <c r="Y357">
        <v>183.5</v>
      </c>
      <c r="Z357">
        <v>167.8</v>
      </c>
      <c r="AA357">
        <v>171.2</v>
      </c>
      <c r="AB357">
        <v>177.3</v>
      </c>
      <c r="AC357">
        <v>175.7</v>
      </c>
      <c r="AD357" s="7">
        <v>175.5</v>
      </c>
      <c r="AE357">
        <v>177.1</v>
      </c>
    </row>
    <row r="358" spans="1:31" x14ac:dyDescent="0.3">
      <c r="A358" t="s">
        <v>33</v>
      </c>
      <c r="B358">
        <v>2022</v>
      </c>
      <c r="C358" t="s">
        <v>46</v>
      </c>
      <c r="D358" s="10" t="str">
        <f xml:space="preserve"> _xlfn.CONCAT(Table1[[#This Row],[Month]],",",Table1[[#This Row],[Year]])</f>
        <v>December,2022</v>
      </c>
      <c r="E358">
        <v>170.2</v>
      </c>
      <c r="F358">
        <v>212.9</v>
      </c>
      <c r="G358">
        <v>191.9</v>
      </c>
      <c r="H358">
        <v>173.9</v>
      </c>
      <c r="I358">
        <v>179.1</v>
      </c>
      <c r="J358">
        <v>159.5</v>
      </c>
      <c r="K358">
        <v>178.7</v>
      </c>
      <c r="L358">
        <v>171.3</v>
      </c>
      <c r="M358">
        <v>123.1</v>
      </c>
      <c r="N358">
        <v>200.5</v>
      </c>
      <c r="O358">
        <v>162.80000000000001</v>
      </c>
      <c r="P358">
        <v>193.3</v>
      </c>
      <c r="Q358" s="3">
        <v>178.6</v>
      </c>
      <c r="R358" s="7">
        <v>201.1</v>
      </c>
      <c r="S358">
        <v>177.7</v>
      </c>
      <c r="T358">
        <v>164.5</v>
      </c>
      <c r="U358" s="5">
        <v>175.7</v>
      </c>
      <c r="V358" s="6">
        <v>170.7</v>
      </c>
      <c r="W358" s="4">
        <v>180.6</v>
      </c>
      <c r="X358">
        <v>167.3</v>
      </c>
      <c r="Y358">
        <v>177.2</v>
      </c>
      <c r="Z358">
        <v>159.4</v>
      </c>
      <c r="AA358">
        <v>167.1</v>
      </c>
      <c r="AB358">
        <v>171.8</v>
      </c>
      <c r="AC358">
        <v>176</v>
      </c>
      <c r="AD358" s="7">
        <v>168.2</v>
      </c>
      <c r="AE358">
        <v>174.1</v>
      </c>
    </row>
    <row r="359" spans="1:31" x14ac:dyDescent="0.3">
      <c r="A359" t="s">
        <v>34</v>
      </c>
      <c r="B359">
        <v>2022</v>
      </c>
      <c r="C359" t="s">
        <v>46</v>
      </c>
      <c r="D359" s="10" t="str">
        <f xml:space="preserve"> _xlfn.CONCAT(Table1[[#This Row],[Month]],",",Table1[[#This Row],[Year]])</f>
        <v>December,2022</v>
      </c>
      <c r="E359">
        <v>169.2</v>
      </c>
      <c r="F359">
        <v>209</v>
      </c>
      <c r="G359">
        <v>190.2</v>
      </c>
      <c r="H359">
        <v>173.6</v>
      </c>
      <c r="I359">
        <v>188.5</v>
      </c>
      <c r="J359">
        <v>158</v>
      </c>
      <c r="K359">
        <v>159.9</v>
      </c>
      <c r="L359">
        <v>170.8</v>
      </c>
      <c r="M359">
        <v>121.8</v>
      </c>
      <c r="N359">
        <v>205.2</v>
      </c>
      <c r="O359">
        <v>171</v>
      </c>
      <c r="P359">
        <v>190.3</v>
      </c>
      <c r="Q359" s="3">
        <v>175.9</v>
      </c>
      <c r="R359" s="7">
        <v>197.3</v>
      </c>
      <c r="S359">
        <v>184</v>
      </c>
      <c r="T359">
        <v>177</v>
      </c>
      <c r="U359" s="5">
        <v>183</v>
      </c>
      <c r="V359" s="6">
        <v>170.7</v>
      </c>
      <c r="W359" s="4">
        <v>182</v>
      </c>
      <c r="X359">
        <v>172.1</v>
      </c>
      <c r="Y359">
        <v>181.1</v>
      </c>
      <c r="Z359">
        <v>163.4</v>
      </c>
      <c r="AA359">
        <v>168.9</v>
      </c>
      <c r="AB359">
        <v>174.1</v>
      </c>
      <c r="AC359">
        <v>175.8</v>
      </c>
      <c r="AD359" s="7">
        <v>172</v>
      </c>
      <c r="AE359">
        <v>175.7</v>
      </c>
    </row>
    <row r="360" spans="1:31" x14ac:dyDescent="0.3">
      <c r="A360" t="s">
        <v>30</v>
      </c>
      <c r="B360">
        <v>2023</v>
      </c>
      <c r="C360" t="s">
        <v>31</v>
      </c>
      <c r="D360" s="10" t="str">
        <f xml:space="preserve"> _xlfn.CONCAT(Table1[[#This Row],[Month]],",",Table1[[#This Row],[Year]])</f>
        <v>January,2023</v>
      </c>
      <c r="E360">
        <v>174</v>
      </c>
      <c r="F360">
        <v>208.3</v>
      </c>
      <c r="G360">
        <v>192.9</v>
      </c>
      <c r="H360">
        <v>174.3</v>
      </c>
      <c r="I360">
        <v>192.6</v>
      </c>
      <c r="J360">
        <v>156.30000000000001</v>
      </c>
      <c r="K360">
        <v>142.9</v>
      </c>
      <c r="L360">
        <v>170.7</v>
      </c>
      <c r="M360">
        <v>120.3</v>
      </c>
      <c r="N360">
        <v>210.5</v>
      </c>
      <c r="O360">
        <v>176.9</v>
      </c>
      <c r="P360">
        <v>188.5</v>
      </c>
      <c r="Q360" s="3">
        <v>175</v>
      </c>
      <c r="R360" s="7">
        <v>196.9</v>
      </c>
      <c r="S360">
        <v>189</v>
      </c>
      <c r="T360">
        <v>186.3</v>
      </c>
      <c r="U360" s="5">
        <v>188.6</v>
      </c>
      <c r="V360" s="6" t="s">
        <v>32</v>
      </c>
      <c r="W360" s="4">
        <v>183.2</v>
      </c>
      <c r="X360">
        <v>177.2</v>
      </c>
      <c r="Y360">
        <v>184.7</v>
      </c>
      <c r="Z360">
        <v>168.2</v>
      </c>
      <c r="AA360">
        <v>171.8</v>
      </c>
      <c r="AB360">
        <v>177.8</v>
      </c>
      <c r="AC360">
        <v>178.4</v>
      </c>
      <c r="AD360" s="7">
        <v>176.5</v>
      </c>
      <c r="AE360">
        <v>177.8</v>
      </c>
    </row>
    <row r="361" spans="1:31" x14ac:dyDescent="0.3">
      <c r="A361" t="s">
        <v>33</v>
      </c>
      <c r="B361">
        <v>2023</v>
      </c>
      <c r="C361" t="s">
        <v>31</v>
      </c>
      <c r="D361" s="10" t="str">
        <f xml:space="preserve"> _xlfn.CONCAT(Table1[[#This Row],[Month]],",",Table1[[#This Row],[Year]])</f>
        <v>January,2023</v>
      </c>
      <c r="E361">
        <v>173.3</v>
      </c>
      <c r="F361">
        <v>215.2</v>
      </c>
      <c r="G361">
        <v>197</v>
      </c>
      <c r="H361">
        <v>175.2</v>
      </c>
      <c r="I361">
        <v>178</v>
      </c>
      <c r="J361">
        <v>160.5</v>
      </c>
      <c r="K361">
        <v>175.3</v>
      </c>
      <c r="L361">
        <v>171.2</v>
      </c>
      <c r="M361">
        <v>122.7</v>
      </c>
      <c r="N361">
        <v>204.3</v>
      </c>
      <c r="O361">
        <v>163.69999999999999</v>
      </c>
      <c r="P361">
        <v>194.3</v>
      </c>
      <c r="Q361" s="3">
        <v>179.5</v>
      </c>
      <c r="R361" s="7">
        <v>201.6</v>
      </c>
      <c r="S361">
        <v>178.7</v>
      </c>
      <c r="T361">
        <v>165.3</v>
      </c>
      <c r="U361" s="5">
        <v>176.6</v>
      </c>
      <c r="V361" s="6">
        <v>172.1</v>
      </c>
      <c r="W361" s="4">
        <v>180.1</v>
      </c>
      <c r="X361">
        <v>168</v>
      </c>
      <c r="Y361">
        <v>178.5</v>
      </c>
      <c r="Z361">
        <v>159.5</v>
      </c>
      <c r="AA361">
        <v>167.8</v>
      </c>
      <c r="AB361">
        <v>171.8</v>
      </c>
      <c r="AC361">
        <v>178.8</v>
      </c>
      <c r="AD361" s="7">
        <v>168.9</v>
      </c>
      <c r="AE361">
        <v>174.9</v>
      </c>
    </row>
    <row r="362" spans="1:31" x14ac:dyDescent="0.3">
      <c r="A362" t="s">
        <v>34</v>
      </c>
      <c r="B362">
        <v>2023</v>
      </c>
      <c r="C362" t="s">
        <v>31</v>
      </c>
      <c r="D362" s="10" t="str">
        <f xml:space="preserve"> _xlfn.CONCAT(Table1[[#This Row],[Month]],",",Table1[[#This Row],[Year]])</f>
        <v>January,2023</v>
      </c>
      <c r="E362">
        <v>173.8</v>
      </c>
      <c r="F362">
        <v>210.7</v>
      </c>
      <c r="G362">
        <v>194.5</v>
      </c>
      <c r="H362">
        <v>174.6</v>
      </c>
      <c r="I362">
        <v>187.2</v>
      </c>
      <c r="J362">
        <v>158.30000000000001</v>
      </c>
      <c r="K362">
        <v>153.9</v>
      </c>
      <c r="L362">
        <v>170.9</v>
      </c>
      <c r="M362">
        <v>121.1</v>
      </c>
      <c r="N362">
        <v>208.4</v>
      </c>
      <c r="O362">
        <v>171.4</v>
      </c>
      <c r="P362">
        <v>191.2</v>
      </c>
      <c r="Q362" s="3">
        <v>176.7</v>
      </c>
      <c r="R362" s="7">
        <v>198.2</v>
      </c>
      <c r="S362">
        <v>184.9</v>
      </c>
      <c r="T362">
        <v>177.6</v>
      </c>
      <c r="U362" s="5">
        <v>183.8</v>
      </c>
      <c r="V362" s="6">
        <v>172.1</v>
      </c>
      <c r="W362" s="4">
        <v>182</v>
      </c>
      <c r="X362">
        <v>172.9</v>
      </c>
      <c r="Y362">
        <v>182.3</v>
      </c>
      <c r="Z362">
        <v>163.6</v>
      </c>
      <c r="AA362">
        <v>169.5</v>
      </c>
      <c r="AB362">
        <v>174.3</v>
      </c>
      <c r="AC362">
        <v>178.6</v>
      </c>
      <c r="AD362" s="7">
        <v>172.8</v>
      </c>
      <c r="AE362">
        <v>176.5</v>
      </c>
    </row>
    <row r="363" spans="1:31" x14ac:dyDescent="0.3">
      <c r="A363" t="s">
        <v>30</v>
      </c>
      <c r="B363">
        <v>2023</v>
      </c>
      <c r="C363" t="s">
        <v>35</v>
      </c>
      <c r="D363" s="10" t="str">
        <f xml:space="preserve"> _xlfn.CONCAT(Table1[[#This Row],[Month]],",",Table1[[#This Row],[Year]])</f>
        <v>February,2023</v>
      </c>
      <c r="E363">
        <v>174.2</v>
      </c>
      <c r="F363">
        <v>205.2</v>
      </c>
      <c r="G363">
        <v>173.9</v>
      </c>
      <c r="H363">
        <v>177</v>
      </c>
      <c r="I363">
        <v>183.4</v>
      </c>
      <c r="J363">
        <v>167.2</v>
      </c>
      <c r="K363">
        <v>140.9</v>
      </c>
      <c r="L363">
        <v>170.4</v>
      </c>
      <c r="M363">
        <v>119.1</v>
      </c>
      <c r="N363">
        <v>212.1</v>
      </c>
      <c r="O363">
        <v>177.6</v>
      </c>
      <c r="P363">
        <v>189.9</v>
      </c>
      <c r="Q363" s="3">
        <v>174.8</v>
      </c>
      <c r="R363" s="7">
        <v>198.3</v>
      </c>
      <c r="S363">
        <v>190</v>
      </c>
      <c r="T363">
        <v>187</v>
      </c>
      <c r="U363" s="5">
        <v>189.6</v>
      </c>
      <c r="V363" s="6" t="s">
        <v>32</v>
      </c>
      <c r="W363" s="4">
        <v>181.6</v>
      </c>
      <c r="X363">
        <v>178.6</v>
      </c>
      <c r="Y363">
        <v>186.6</v>
      </c>
      <c r="Z363">
        <v>169</v>
      </c>
      <c r="AA363">
        <v>172.8</v>
      </c>
      <c r="AB363">
        <v>178.5</v>
      </c>
      <c r="AC363">
        <v>180.7</v>
      </c>
      <c r="AD363" s="7">
        <v>177.9</v>
      </c>
      <c r="AE363">
        <v>178</v>
      </c>
    </row>
    <row r="364" spans="1:31" x14ac:dyDescent="0.3">
      <c r="A364" t="s">
        <v>33</v>
      </c>
      <c r="B364">
        <v>2023</v>
      </c>
      <c r="C364" t="s">
        <v>35</v>
      </c>
      <c r="D364" s="10" t="str">
        <f xml:space="preserve"> _xlfn.CONCAT(Table1[[#This Row],[Month]],",",Table1[[#This Row],[Year]])</f>
        <v>February,2023</v>
      </c>
      <c r="E364">
        <v>174.7</v>
      </c>
      <c r="F364">
        <v>212.2</v>
      </c>
      <c r="G364">
        <v>177.2</v>
      </c>
      <c r="H364">
        <v>177.9</v>
      </c>
      <c r="I364">
        <v>172.2</v>
      </c>
      <c r="J364">
        <v>172.1</v>
      </c>
      <c r="K364">
        <v>175.8</v>
      </c>
      <c r="L364">
        <v>172.2</v>
      </c>
      <c r="M364">
        <v>121.9</v>
      </c>
      <c r="N364">
        <v>204.8</v>
      </c>
      <c r="O364">
        <v>164.9</v>
      </c>
      <c r="P364">
        <v>196.6</v>
      </c>
      <c r="Q364" s="3">
        <v>180.7</v>
      </c>
      <c r="R364" s="7">
        <v>202.7</v>
      </c>
      <c r="S364">
        <v>180.3</v>
      </c>
      <c r="T364">
        <v>167</v>
      </c>
      <c r="U364" s="5">
        <v>178.2</v>
      </c>
      <c r="V364" s="6">
        <v>173.5</v>
      </c>
      <c r="W364" s="4">
        <v>182.8</v>
      </c>
      <c r="X364">
        <v>169.2</v>
      </c>
      <c r="Y364">
        <v>180.8</v>
      </c>
      <c r="Z364">
        <v>159.80000000000001</v>
      </c>
      <c r="AA364">
        <v>168.4</v>
      </c>
      <c r="AB364">
        <v>172.5</v>
      </c>
      <c r="AC364">
        <v>181.4</v>
      </c>
      <c r="AD364" s="7">
        <v>170</v>
      </c>
      <c r="AE364">
        <v>176.3</v>
      </c>
    </row>
    <row r="365" spans="1:31" x14ac:dyDescent="0.3">
      <c r="A365" t="s">
        <v>34</v>
      </c>
      <c r="B365">
        <v>2023</v>
      </c>
      <c r="C365" t="s">
        <v>35</v>
      </c>
      <c r="D365" s="10" t="str">
        <f xml:space="preserve"> _xlfn.CONCAT(Table1[[#This Row],[Month]],",",Table1[[#This Row],[Year]])</f>
        <v>February,2023</v>
      </c>
      <c r="E365">
        <v>174.4</v>
      </c>
      <c r="F365">
        <v>207.7</v>
      </c>
      <c r="G365">
        <v>175.2</v>
      </c>
      <c r="H365">
        <v>177.3</v>
      </c>
      <c r="I365">
        <v>179.3</v>
      </c>
      <c r="J365">
        <v>169.5</v>
      </c>
      <c r="K365">
        <v>152.69999999999999</v>
      </c>
      <c r="L365">
        <v>171</v>
      </c>
      <c r="M365">
        <v>120</v>
      </c>
      <c r="N365">
        <v>209.7</v>
      </c>
      <c r="O365">
        <v>172.3</v>
      </c>
      <c r="P365">
        <v>193</v>
      </c>
      <c r="Q365" s="3">
        <v>177</v>
      </c>
      <c r="R365" s="7">
        <v>199.5</v>
      </c>
      <c r="S365">
        <v>186.2</v>
      </c>
      <c r="T365">
        <v>178.7</v>
      </c>
      <c r="U365" s="5">
        <v>185.1</v>
      </c>
      <c r="V365" s="6">
        <v>173.5</v>
      </c>
      <c r="W365" s="4">
        <v>182.1</v>
      </c>
      <c r="X365">
        <v>174.2</v>
      </c>
      <c r="Y365">
        <v>184.4</v>
      </c>
      <c r="Z365">
        <v>164.2</v>
      </c>
      <c r="AA365">
        <v>170.3</v>
      </c>
      <c r="AB365">
        <v>175</v>
      </c>
      <c r="AC365">
        <v>181</v>
      </c>
      <c r="AD365" s="7">
        <v>174.1</v>
      </c>
      <c r="AE365">
        <v>177.2</v>
      </c>
    </row>
    <row r="366" spans="1:31" x14ac:dyDescent="0.3">
      <c r="A366" t="s">
        <v>30</v>
      </c>
      <c r="B366">
        <v>2023</v>
      </c>
      <c r="C366" t="s">
        <v>36</v>
      </c>
      <c r="D366" s="10" t="str">
        <f xml:space="preserve"> _xlfn.CONCAT(Table1[[#This Row],[Month]],",",Table1[[#This Row],[Year]])</f>
        <v>March,2023</v>
      </c>
      <c r="E366">
        <v>174.3</v>
      </c>
      <c r="F366">
        <v>205.2</v>
      </c>
      <c r="G366">
        <v>173.9</v>
      </c>
      <c r="H366">
        <v>177</v>
      </c>
      <c r="I366">
        <v>183.3</v>
      </c>
      <c r="J366">
        <v>167.2</v>
      </c>
      <c r="K366">
        <v>140.9</v>
      </c>
      <c r="L366">
        <v>170.5</v>
      </c>
      <c r="M366">
        <v>119.1</v>
      </c>
      <c r="N366">
        <v>212.1</v>
      </c>
      <c r="O366">
        <v>177.6</v>
      </c>
      <c r="P366">
        <v>189.9</v>
      </c>
      <c r="Q366" s="3">
        <v>174.8</v>
      </c>
      <c r="R366" s="7">
        <v>198.4</v>
      </c>
      <c r="S366">
        <v>190</v>
      </c>
      <c r="T366">
        <v>187</v>
      </c>
      <c r="U366" s="5">
        <v>189.6</v>
      </c>
      <c r="V366" s="6" t="s">
        <v>32</v>
      </c>
      <c r="W366" s="4">
        <v>181.4</v>
      </c>
      <c r="X366">
        <v>178.6</v>
      </c>
      <c r="Y366">
        <v>186.6</v>
      </c>
      <c r="Z366">
        <v>169</v>
      </c>
      <c r="AA366">
        <v>172.8</v>
      </c>
      <c r="AB366">
        <v>178.5</v>
      </c>
      <c r="AC366">
        <v>180.7</v>
      </c>
      <c r="AD366" s="7">
        <v>177.9</v>
      </c>
      <c r="AE366">
        <v>178</v>
      </c>
    </row>
    <row r="367" spans="1:31" x14ac:dyDescent="0.3">
      <c r="A367" t="s">
        <v>33</v>
      </c>
      <c r="B367">
        <v>2023</v>
      </c>
      <c r="C367" t="s">
        <v>36</v>
      </c>
      <c r="D367" s="10" t="str">
        <f xml:space="preserve"> _xlfn.CONCAT(Table1[[#This Row],[Month]],",",Table1[[#This Row],[Year]])</f>
        <v>March,2023</v>
      </c>
      <c r="E367">
        <v>174.7</v>
      </c>
      <c r="F367">
        <v>212.2</v>
      </c>
      <c r="G367">
        <v>177.2</v>
      </c>
      <c r="H367">
        <v>177.9</v>
      </c>
      <c r="I367">
        <v>172.2</v>
      </c>
      <c r="J367">
        <v>172.1</v>
      </c>
      <c r="K367">
        <v>175.9</v>
      </c>
      <c r="L367">
        <v>172.2</v>
      </c>
      <c r="M367">
        <v>121.9</v>
      </c>
      <c r="N367">
        <v>204.8</v>
      </c>
      <c r="O367">
        <v>164.9</v>
      </c>
      <c r="P367">
        <v>196.6</v>
      </c>
      <c r="Q367" s="3">
        <v>180.8</v>
      </c>
      <c r="R367" s="7">
        <v>202.7</v>
      </c>
      <c r="S367">
        <v>180.2</v>
      </c>
      <c r="T367">
        <v>167</v>
      </c>
      <c r="U367" s="5">
        <v>178.2</v>
      </c>
      <c r="V367" s="6">
        <v>173.5</v>
      </c>
      <c r="W367" s="4">
        <v>182.6</v>
      </c>
      <c r="X367">
        <v>169.2</v>
      </c>
      <c r="Y367">
        <v>180.8</v>
      </c>
      <c r="Z367">
        <v>159.80000000000001</v>
      </c>
      <c r="AA367">
        <v>168.4</v>
      </c>
      <c r="AB367">
        <v>172.5</v>
      </c>
      <c r="AC367">
        <v>181.5</v>
      </c>
      <c r="AD367" s="7">
        <v>170</v>
      </c>
      <c r="AE367">
        <v>176.3</v>
      </c>
    </row>
    <row r="368" spans="1:31" x14ac:dyDescent="0.3">
      <c r="A368" t="s">
        <v>34</v>
      </c>
      <c r="B368">
        <v>2023</v>
      </c>
      <c r="C368" t="s">
        <v>36</v>
      </c>
      <c r="D368" s="10" t="str">
        <f xml:space="preserve"> _xlfn.CONCAT(Table1[[#This Row],[Month]],",",Table1[[#This Row],[Year]])</f>
        <v>March,2023</v>
      </c>
      <c r="E368">
        <v>174.4</v>
      </c>
      <c r="F368">
        <v>207.7</v>
      </c>
      <c r="G368">
        <v>175.2</v>
      </c>
      <c r="H368">
        <v>177.3</v>
      </c>
      <c r="I368">
        <v>179.2</v>
      </c>
      <c r="J368">
        <v>169.5</v>
      </c>
      <c r="K368">
        <v>152.80000000000001</v>
      </c>
      <c r="L368">
        <v>171.1</v>
      </c>
      <c r="M368">
        <v>120</v>
      </c>
      <c r="N368">
        <v>209.7</v>
      </c>
      <c r="O368">
        <v>172.3</v>
      </c>
      <c r="P368">
        <v>193</v>
      </c>
      <c r="Q368" s="3">
        <v>177</v>
      </c>
      <c r="R368" s="7">
        <v>199.5</v>
      </c>
      <c r="S368">
        <v>186.1</v>
      </c>
      <c r="T368">
        <v>178.7</v>
      </c>
      <c r="U368" s="5">
        <v>185.1</v>
      </c>
      <c r="V368" s="6">
        <v>173.5</v>
      </c>
      <c r="W368" s="4">
        <v>181.9</v>
      </c>
      <c r="X368">
        <v>174.2</v>
      </c>
      <c r="Y368">
        <v>184.4</v>
      </c>
      <c r="Z368">
        <v>164.2</v>
      </c>
      <c r="AA368">
        <v>170.3</v>
      </c>
      <c r="AB368">
        <v>175</v>
      </c>
      <c r="AC368">
        <v>181</v>
      </c>
      <c r="AD368" s="7">
        <v>174.1</v>
      </c>
      <c r="AE368">
        <v>177.2</v>
      </c>
    </row>
    <row r="369" spans="1:31" x14ac:dyDescent="0.3">
      <c r="A369" t="s">
        <v>30</v>
      </c>
      <c r="B369">
        <v>2023</v>
      </c>
      <c r="C369" t="s">
        <v>37</v>
      </c>
      <c r="D369" s="10" t="str">
        <f xml:space="preserve"> _xlfn.CONCAT(Table1[[#This Row],[Month]],",",Table1[[#This Row],[Year]])</f>
        <v>April,2023</v>
      </c>
      <c r="E369">
        <v>173.3</v>
      </c>
      <c r="F369">
        <v>206.9</v>
      </c>
      <c r="G369">
        <v>167.9</v>
      </c>
      <c r="H369">
        <v>178.2</v>
      </c>
      <c r="I369">
        <v>178.5</v>
      </c>
      <c r="J369">
        <v>173.7</v>
      </c>
      <c r="K369">
        <v>142.80000000000001</v>
      </c>
      <c r="L369">
        <v>172.8</v>
      </c>
      <c r="M369">
        <v>120.4</v>
      </c>
      <c r="N369">
        <v>215.5</v>
      </c>
      <c r="O369">
        <v>178.2</v>
      </c>
      <c r="P369">
        <v>190.5</v>
      </c>
      <c r="Q369" s="3">
        <v>175.5</v>
      </c>
      <c r="R369" s="7">
        <v>199.5</v>
      </c>
      <c r="S369">
        <v>190.7</v>
      </c>
      <c r="T369">
        <v>187.3</v>
      </c>
      <c r="U369" s="5">
        <v>190.2</v>
      </c>
      <c r="V369" s="6" t="s">
        <v>32</v>
      </c>
      <c r="W369" s="4">
        <v>181.5</v>
      </c>
      <c r="X369">
        <v>179.1</v>
      </c>
      <c r="Y369">
        <v>187.2</v>
      </c>
      <c r="Z369">
        <v>169.4</v>
      </c>
      <c r="AA369">
        <v>173.2</v>
      </c>
      <c r="AB369">
        <v>179.4</v>
      </c>
      <c r="AC369">
        <v>183.8</v>
      </c>
      <c r="AD369" s="7">
        <v>178.9</v>
      </c>
      <c r="AE369">
        <v>178.8</v>
      </c>
    </row>
    <row r="370" spans="1:31" x14ac:dyDescent="0.3">
      <c r="A370" t="s">
        <v>33</v>
      </c>
      <c r="B370">
        <v>2023</v>
      </c>
      <c r="C370" t="s">
        <v>37</v>
      </c>
      <c r="D370" s="10" t="str">
        <f xml:space="preserve"> _xlfn.CONCAT(Table1[[#This Row],[Month]],",",Table1[[#This Row],[Year]])</f>
        <v>April,2023</v>
      </c>
      <c r="E370">
        <v>174.8</v>
      </c>
      <c r="F370">
        <v>213.7</v>
      </c>
      <c r="G370">
        <v>172.4</v>
      </c>
      <c r="H370">
        <v>178.8</v>
      </c>
      <c r="I370">
        <v>168.7</v>
      </c>
      <c r="J370">
        <v>179.2</v>
      </c>
      <c r="K370">
        <v>179.9</v>
      </c>
      <c r="L370">
        <v>174.7</v>
      </c>
      <c r="M370">
        <v>123.1</v>
      </c>
      <c r="N370">
        <v>207.8</v>
      </c>
      <c r="O370">
        <v>165.5</v>
      </c>
      <c r="P370">
        <v>197</v>
      </c>
      <c r="Q370" s="3">
        <v>182.1</v>
      </c>
      <c r="R370" s="7">
        <v>203.5</v>
      </c>
      <c r="S370">
        <v>181</v>
      </c>
      <c r="T370">
        <v>167.7</v>
      </c>
      <c r="U370" s="5">
        <v>178.9</v>
      </c>
      <c r="V370" s="6">
        <v>175.2</v>
      </c>
      <c r="W370" s="4">
        <v>182.1</v>
      </c>
      <c r="X370">
        <v>169.6</v>
      </c>
      <c r="Y370">
        <v>181.5</v>
      </c>
      <c r="Z370">
        <v>160.1</v>
      </c>
      <c r="AA370">
        <v>168.8</v>
      </c>
      <c r="AB370">
        <v>174.2</v>
      </c>
      <c r="AC370">
        <v>184.4</v>
      </c>
      <c r="AD370" s="7">
        <v>170.9</v>
      </c>
      <c r="AE370">
        <v>177.4</v>
      </c>
    </row>
    <row r="371" spans="1:31" x14ac:dyDescent="0.3">
      <c r="A371" t="s">
        <v>34</v>
      </c>
      <c r="B371">
        <v>2023</v>
      </c>
      <c r="C371" t="s">
        <v>37</v>
      </c>
      <c r="D371" s="10" t="str">
        <f xml:space="preserve"> _xlfn.CONCAT(Table1[[#This Row],[Month]],",",Table1[[#This Row],[Year]])</f>
        <v>April,2023</v>
      </c>
      <c r="E371">
        <v>173.8</v>
      </c>
      <c r="F371">
        <v>209.3</v>
      </c>
      <c r="G371">
        <v>169.6</v>
      </c>
      <c r="H371">
        <v>178.4</v>
      </c>
      <c r="I371">
        <v>174.9</v>
      </c>
      <c r="J371">
        <v>176.3</v>
      </c>
      <c r="K371">
        <v>155.4</v>
      </c>
      <c r="L371">
        <v>173.4</v>
      </c>
      <c r="M371">
        <v>121.3</v>
      </c>
      <c r="N371">
        <v>212.9</v>
      </c>
      <c r="O371">
        <v>172.9</v>
      </c>
      <c r="P371">
        <v>193.5</v>
      </c>
      <c r="Q371" s="3">
        <v>177.9</v>
      </c>
      <c r="R371" s="7">
        <v>200.6</v>
      </c>
      <c r="S371">
        <v>186.9</v>
      </c>
      <c r="T371">
        <v>179.2</v>
      </c>
      <c r="U371" s="5">
        <v>185.7</v>
      </c>
      <c r="V371" s="6">
        <v>175.2</v>
      </c>
      <c r="W371" s="4">
        <v>181.7</v>
      </c>
      <c r="X371">
        <v>174.6</v>
      </c>
      <c r="Y371">
        <v>185</v>
      </c>
      <c r="Z371">
        <v>164.5</v>
      </c>
      <c r="AA371">
        <v>170.7</v>
      </c>
      <c r="AB371">
        <v>176.4</v>
      </c>
      <c r="AC371">
        <v>184</v>
      </c>
      <c r="AD371" s="7">
        <v>175</v>
      </c>
      <c r="AE371">
        <v>178.1</v>
      </c>
    </row>
    <row r="372" spans="1:31" x14ac:dyDescent="0.3">
      <c r="A372" t="s">
        <v>30</v>
      </c>
      <c r="B372">
        <v>2023</v>
      </c>
      <c r="C372" t="s">
        <v>38</v>
      </c>
      <c r="D372" s="10" t="str">
        <f xml:space="preserve"> _xlfn.CONCAT(Table1[[#This Row],[Month]],",",Table1[[#This Row],[Year]])</f>
        <v>May,2023</v>
      </c>
      <c r="E372">
        <v>173.2</v>
      </c>
      <c r="F372">
        <v>211.5</v>
      </c>
      <c r="G372">
        <v>171</v>
      </c>
      <c r="H372">
        <v>179.6</v>
      </c>
      <c r="I372">
        <v>173.3</v>
      </c>
      <c r="J372">
        <v>169</v>
      </c>
      <c r="K372">
        <v>148.69999999999999</v>
      </c>
      <c r="L372">
        <v>174.9</v>
      </c>
      <c r="M372">
        <v>121.9</v>
      </c>
      <c r="N372">
        <v>221</v>
      </c>
      <c r="O372">
        <v>178.7</v>
      </c>
      <c r="P372">
        <v>191.1</v>
      </c>
      <c r="Q372" s="3">
        <v>176.8</v>
      </c>
      <c r="R372" s="7">
        <v>199.9</v>
      </c>
      <c r="S372">
        <v>191.2</v>
      </c>
      <c r="T372">
        <v>187.9</v>
      </c>
      <c r="U372" s="5">
        <v>190.8</v>
      </c>
      <c r="V372" s="6" t="s">
        <v>32</v>
      </c>
      <c r="W372" s="4">
        <v>182.5</v>
      </c>
      <c r="X372">
        <v>179.8</v>
      </c>
      <c r="Y372">
        <v>187.8</v>
      </c>
      <c r="Z372">
        <v>169.7</v>
      </c>
      <c r="AA372">
        <v>173.8</v>
      </c>
      <c r="AB372">
        <v>180.3</v>
      </c>
      <c r="AC372">
        <v>184.9</v>
      </c>
      <c r="AD372" s="7">
        <v>179.5</v>
      </c>
      <c r="AE372">
        <v>179.8</v>
      </c>
    </row>
    <row r="373" spans="1:31" x14ac:dyDescent="0.3">
      <c r="A373" t="s">
        <v>33</v>
      </c>
      <c r="B373">
        <v>2023</v>
      </c>
      <c r="C373" t="s">
        <v>38</v>
      </c>
      <c r="D373" s="10" t="str">
        <f xml:space="preserve"> _xlfn.CONCAT(Table1[[#This Row],[Month]],",",Table1[[#This Row],[Year]])</f>
        <v>May,2023</v>
      </c>
      <c r="E373">
        <v>174.7</v>
      </c>
      <c r="F373">
        <v>219.4</v>
      </c>
      <c r="G373">
        <v>176.7</v>
      </c>
      <c r="H373">
        <v>179.4</v>
      </c>
      <c r="I373">
        <v>164.4</v>
      </c>
      <c r="J373">
        <v>175.8</v>
      </c>
      <c r="K373">
        <v>185</v>
      </c>
      <c r="L373">
        <v>176.9</v>
      </c>
      <c r="M373">
        <v>124.2</v>
      </c>
      <c r="N373">
        <v>211.9</v>
      </c>
      <c r="O373">
        <v>165.9</v>
      </c>
      <c r="P373">
        <v>197.7</v>
      </c>
      <c r="Q373" s="3">
        <v>183.1</v>
      </c>
      <c r="R373" s="7">
        <v>204.2</v>
      </c>
      <c r="S373">
        <v>181.3</v>
      </c>
      <c r="T373">
        <v>168.1</v>
      </c>
      <c r="U373" s="5">
        <v>179.3</v>
      </c>
      <c r="V373" s="6">
        <v>175.6</v>
      </c>
      <c r="W373" s="4">
        <v>183.4</v>
      </c>
      <c r="X373">
        <v>170.1</v>
      </c>
      <c r="Y373">
        <v>182.2</v>
      </c>
      <c r="Z373">
        <v>160.4</v>
      </c>
      <c r="AA373">
        <v>169.2</v>
      </c>
      <c r="AB373">
        <v>174.8</v>
      </c>
      <c r="AC373">
        <v>185.6</v>
      </c>
      <c r="AD373" s="7">
        <v>171.6</v>
      </c>
      <c r="AE373">
        <v>178.2</v>
      </c>
    </row>
    <row r="374" spans="1:31" x14ac:dyDescent="0.3">
      <c r="A374" t="s">
        <v>34</v>
      </c>
      <c r="B374">
        <v>2023</v>
      </c>
      <c r="C374" t="s">
        <v>38</v>
      </c>
      <c r="D374" s="10" t="str">
        <f xml:space="preserve"> _xlfn.CONCAT(Table1[[#This Row],[Month]],",",Table1[[#This Row],[Year]])</f>
        <v>May,2023</v>
      </c>
      <c r="E374">
        <v>173.7</v>
      </c>
      <c r="F374">
        <v>214.3</v>
      </c>
      <c r="G374">
        <v>173.2</v>
      </c>
      <c r="H374">
        <v>179.5</v>
      </c>
      <c r="I374">
        <v>170</v>
      </c>
      <c r="J374">
        <v>172.2</v>
      </c>
      <c r="K374">
        <v>161</v>
      </c>
      <c r="L374">
        <v>175.6</v>
      </c>
      <c r="M374">
        <v>122.7</v>
      </c>
      <c r="N374">
        <v>218</v>
      </c>
      <c r="O374">
        <v>173.4</v>
      </c>
      <c r="P374">
        <v>194.2</v>
      </c>
      <c r="Q374" s="3">
        <v>179.1</v>
      </c>
      <c r="R374" s="7">
        <v>201</v>
      </c>
      <c r="S374">
        <v>187.3</v>
      </c>
      <c r="T374">
        <v>179.7</v>
      </c>
      <c r="U374" s="5">
        <v>186.2</v>
      </c>
      <c r="V374" s="6">
        <v>175.6</v>
      </c>
      <c r="W374" s="4">
        <v>182.8</v>
      </c>
      <c r="X374">
        <v>175.2</v>
      </c>
      <c r="Y374">
        <v>185.7</v>
      </c>
      <c r="Z374">
        <v>164.8</v>
      </c>
      <c r="AA374">
        <v>171.2</v>
      </c>
      <c r="AB374">
        <v>177.1</v>
      </c>
      <c r="AC374">
        <v>185.2</v>
      </c>
      <c r="AD374" s="7">
        <v>175.7</v>
      </c>
      <c r="AE374">
        <v>179.1</v>
      </c>
    </row>
  </sheetData>
  <phoneticPr fontId="18"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140E4-58FB-4517-A144-167FACDA3E3E}">
  <dimension ref="A2:J44"/>
  <sheetViews>
    <sheetView tabSelected="1" zoomScale="102" workbookViewId="0">
      <selection activeCell="C26" sqref="C26"/>
    </sheetView>
  </sheetViews>
  <sheetFormatPr defaultRowHeight="14.4" x14ac:dyDescent="0.3"/>
  <cols>
    <col min="1" max="1" width="24.6640625" bestFit="1" customWidth="1"/>
    <col min="2" max="2" width="29.88671875" customWidth="1"/>
    <col min="3" max="3" width="64" bestFit="1" customWidth="1"/>
    <col min="4" max="4" width="17.44140625" bestFit="1" customWidth="1"/>
    <col min="5" max="5" width="13.77734375" bestFit="1" customWidth="1"/>
    <col min="6" max="7" width="22.88671875" bestFit="1" customWidth="1"/>
    <col min="8" max="8" width="30" bestFit="1" customWidth="1"/>
    <col min="9" max="9" width="14.109375" customWidth="1"/>
    <col min="10" max="10" width="12.6640625" customWidth="1"/>
    <col min="11" max="11" width="7.33203125" bestFit="1" customWidth="1"/>
    <col min="12" max="12" width="6.21875" bestFit="1" customWidth="1"/>
    <col min="13" max="13" width="22.88671875" customWidth="1"/>
    <col min="14" max="14" width="30" bestFit="1" customWidth="1"/>
    <col min="15" max="15" width="27.21875" bestFit="1" customWidth="1"/>
    <col min="16" max="16" width="15.77734375" bestFit="1" customWidth="1"/>
    <col min="17" max="17" width="26.6640625" bestFit="1" customWidth="1"/>
    <col min="18" max="19" width="7.33203125" bestFit="1" customWidth="1"/>
    <col min="20" max="20" width="6.21875" bestFit="1" customWidth="1"/>
    <col min="21" max="21" width="26.6640625" bestFit="1" customWidth="1"/>
    <col min="22" max="23" width="7.33203125" bestFit="1" customWidth="1"/>
    <col min="24" max="24" width="6.21875" bestFit="1" customWidth="1"/>
    <col min="25" max="25" width="6.44140625" bestFit="1" customWidth="1"/>
  </cols>
  <sheetData>
    <row r="2" spans="1:10" x14ac:dyDescent="0.3">
      <c r="A2" s="8" t="s">
        <v>0</v>
      </c>
      <c r="B2" t="s">
        <v>34</v>
      </c>
    </row>
    <row r="5" spans="1:10" ht="15" thickBot="1" x14ac:dyDescent="0.35">
      <c r="A5" s="37" t="s">
        <v>1</v>
      </c>
      <c r="B5" s="12" t="s">
        <v>2</v>
      </c>
      <c r="C5" s="12" t="s">
        <v>146</v>
      </c>
      <c r="D5" s="38" t="s">
        <v>147</v>
      </c>
      <c r="E5" s="38" t="s">
        <v>148</v>
      </c>
      <c r="F5" s="38" t="s">
        <v>149</v>
      </c>
      <c r="G5" s="38" t="s">
        <v>150</v>
      </c>
      <c r="H5" s="38" t="s">
        <v>151</v>
      </c>
      <c r="I5" s="12" t="s">
        <v>153</v>
      </c>
      <c r="J5" s="12" t="s">
        <v>152</v>
      </c>
    </row>
    <row r="6" spans="1:10" x14ac:dyDescent="0.3">
      <c r="A6" s="36">
        <v>2021</v>
      </c>
      <c r="B6" s="9" t="s">
        <v>31</v>
      </c>
      <c r="C6" s="39"/>
      <c r="D6" s="39"/>
      <c r="E6" s="39"/>
      <c r="F6" s="39"/>
      <c r="G6" s="39"/>
      <c r="H6" s="39"/>
      <c r="I6">
        <v>54.79</v>
      </c>
    </row>
    <row r="7" spans="1:10" x14ac:dyDescent="0.3">
      <c r="A7" s="36">
        <v>2021</v>
      </c>
      <c r="B7" s="9" t="s">
        <v>35</v>
      </c>
      <c r="C7" s="39">
        <v>-2.5465838509316736E-2</v>
      </c>
      <c r="D7" s="39">
        <v>1.331642358909336E-2</v>
      </c>
      <c r="E7" s="39">
        <v>9.6514745308311604E-3</v>
      </c>
      <c r="F7" s="39">
        <v>3.0425963488843813E-2</v>
      </c>
      <c r="G7" s="39">
        <v>9.8749177090190904E-3</v>
      </c>
      <c r="H7" s="39">
        <v>1.0376134889753716E-2</v>
      </c>
      <c r="I7">
        <v>61.22</v>
      </c>
      <c r="J7" s="39">
        <f t="shared" ref="J7:J34" si="0">(I7-I6)/I6</f>
        <v>0.11735718196751231</v>
      </c>
    </row>
    <row r="8" spans="1:10" x14ac:dyDescent="0.3">
      <c r="A8" s="36">
        <v>2021</v>
      </c>
      <c r="B8" s="9" t="s">
        <v>36</v>
      </c>
      <c r="C8" s="39">
        <v>-1.2746972594010009E-3</v>
      </c>
      <c r="D8" s="39">
        <v>6.2578222778469526E-4</v>
      </c>
      <c r="E8" s="39">
        <v>-1.0621348911312642E-3</v>
      </c>
      <c r="F8" s="39">
        <v>2.0341207349081326E-2</v>
      </c>
      <c r="G8" s="39">
        <v>2.6075619295958647E-3</v>
      </c>
      <c r="H8" s="39">
        <v>3.8510911424903356E-3</v>
      </c>
      <c r="I8">
        <v>64.73</v>
      </c>
      <c r="J8" s="39">
        <f t="shared" si="0"/>
        <v>5.7334204508330697E-2</v>
      </c>
    </row>
    <row r="9" spans="1:10" x14ac:dyDescent="0.3">
      <c r="A9" s="36">
        <v>2021</v>
      </c>
      <c r="B9" s="9" t="s">
        <v>37</v>
      </c>
      <c r="C9" s="39">
        <v>8.2961072112317253E-3</v>
      </c>
      <c r="D9" s="39">
        <v>9.3808630393996239E-3</v>
      </c>
      <c r="E9" s="39">
        <v>3.7214247740564436E-3</v>
      </c>
      <c r="F9" s="39">
        <v>6.4308681672022071E-4</v>
      </c>
      <c r="G9" s="39">
        <v>3.9011703511052944E-3</v>
      </c>
      <c r="H9" s="39">
        <v>5.7544757033248439E-3</v>
      </c>
      <c r="I9">
        <v>63.4</v>
      </c>
      <c r="J9" s="39">
        <f t="shared" si="0"/>
        <v>-2.0546887069365138E-2</v>
      </c>
    </row>
    <row r="10" spans="1:10" x14ac:dyDescent="0.3">
      <c r="A10" s="36">
        <v>2021</v>
      </c>
      <c r="B10" s="9" t="s">
        <v>38</v>
      </c>
      <c r="C10" s="39">
        <v>1.7088607594936637E-2</v>
      </c>
      <c r="D10" s="39">
        <v>1.2391573729862988E-3</v>
      </c>
      <c r="E10" s="39">
        <v>1.6419491525423699E-2</v>
      </c>
      <c r="F10" s="39">
        <v>2.4421593830334265E-2</v>
      </c>
      <c r="G10" s="39">
        <v>1.5544041450777238E-2</v>
      </c>
      <c r="H10" s="39">
        <v>1.9707565162110578E-2</v>
      </c>
      <c r="I10">
        <v>66.95</v>
      </c>
      <c r="J10" s="39">
        <f t="shared" si="0"/>
        <v>5.5993690851735084E-2</v>
      </c>
    </row>
    <row r="11" spans="1:10" x14ac:dyDescent="0.3">
      <c r="A11" s="36">
        <v>2021</v>
      </c>
      <c r="B11" s="9" t="s">
        <v>39</v>
      </c>
      <c r="C11" s="39">
        <v>1.1823273179838244E-2</v>
      </c>
      <c r="D11" s="39">
        <v>-6.8069306930692722E-3</v>
      </c>
      <c r="E11" s="39">
        <v>-5.7321521625846496E-3</v>
      </c>
      <c r="F11" s="39">
        <v>2.5094102885822186E-3</v>
      </c>
      <c r="G11" s="39">
        <v>5.1020408163264218E-3</v>
      </c>
      <c r="H11" s="39">
        <v>1.8703241895260782E-3</v>
      </c>
      <c r="I11">
        <v>71.98</v>
      </c>
      <c r="J11" s="39">
        <f t="shared" si="0"/>
        <v>7.5130694548170285E-2</v>
      </c>
    </row>
    <row r="12" spans="1:10" x14ac:dyDescent="0.3">
      <c r="A12" s="36">
        <v>2021</v>
      </c>
      <c r="B12" s="9" t="s">
        <v>40</v>
      </c>
      <c r="C12" s="39">
        <v>8.6100861008610446E-3</v>
      </c>
      <c r="D12" s="39">
        <v>6.2305295950155761E-3</v>
      </c>
      <c r="E12" s="39">
        <v>2.0964360587000905E-3</v>
      </c>
      <c r="F12" s="39">
        <v>5.6320400500624356E-3</v>
      </c>
      <c r="G12" s="39">
        <v>8.883248730964504E-3</v>
      </c>
      <c r="H12" s="39">
        <v>4.3559427504668144E-3</v>
      </c>
      <c r="I12">
        <v>73.540000000000006</v>
      </c>
      <c r="J12" s="39">
        <f t="shared" si="0"/>
        <v>2.1672686857460436E-2</v>
      </c>
    </row>
    <row r="13" spans="1:10" x14ac:dyDescent="0.3">
      <c r="A13" s="36">
        <v>2021</v>
      </c>
      <c r="B13" s="9" t="s">
        <v>41</v>
      </c>
      <c r="C13" s="39">
        <v>0</v>
      </c>
      <c r="D13" s="39">
        <v>3.7151702786377356E-3</v>
      </c>
      <c r="E13" s="39">
        <v>4.7071129707113267E-3</v>
      </c>
      <c r="F13" s="39">
        <v>1.1823273179838244E-2</v>
      </c>
      <c r="G13" s="39">
        <v>6.2893081761006293E-3</v>
      </c>
      <c r="H13" s="39">
        <v>1.1152416356877217E-2</v>
      </c>
      <c r="I13">
        <v>69.8</v>
      </c>
      <c r="J13" s="39">
        <f t="shared" si="0"/>
        <v>-5.0856676638564163E-2</v>
      </c>
    </row>
    <row r="14" spans="1:10" x14ac:dyDescent="0.3">
      <c r="A14" s="36">
        <v>2021</v>
      </c>
      <c r="B14" s="9" t="s">
        <v>42</v>
      </c>
      <c r="C14" s="39">
        <v>0</v>
      </c>
      <c r="D14" s="39">
        <v>0</v>
      </c>
      <c r="E14" s="39">
        <v>0</v>
      </c>
      <c r="F14" s="39">
        <v>0</v>
      </c>
      <c r="G14" s="39">
        <v>0</v>
      </c>
      <c r="H14" s="39">
        <v>6.12745098039355E-4</v>
      </c>
      <c r="I14">
        <v>73.13</v>
      </c>
      <c r="J14" s="39">
        <f t="shared" si="0"/>
        <v>4.7707736389684792E-2</v>
      </c>
    </row>
    <row r="15" spans="1:10" x14ac:dyDescent="0.3">
      <c r="A15" s="36">
        <v>2021</v>
      </c>
      <c r="B15" s="9" t="s">
        <v>43</v>
      </c>
      <c r="C15" s="39">
        <v>2.2560975609756027E-2</v>
      </c>
      <c r="D15" s="39">
        <v>9.2535471930906849E-3</v>
      </c>
      <c r="E15" s="39">
        <v>3.1233732431025212E-3</v>
      </c>
      <c r="F15" s="39">
        <v>9.8400984009839754E-3</v>
      </c>
      <c r="G15" s="39">
        <v>6.2500000000000003E-3</v>
      </c>
      <c r="H15" s="39">
        <v>6.1236987140232697E-3</v>
      </c>
      <c r="I15">
        <v>82.11</v>
      </c>
      <c r="J15" s="39">
        <f t="shared" si="0"/>
        <v>0.12279502256255989</v>
      </c>
    </row>
    <row r="16" spans="1:10" x14ac:dyDescent="0.3">
      <c r="A16" s="36">
        <v>2021</v>
      </c>
      <c r="B16" s="9" t="s">
        <v>45</v>
      </c>
      <c r="C16" s="39">
        <v>1.1926058437686345E-2</v>
      </c>
      <c r="D16" s="39">
        <v>3.6674816625916523E-3</v>
      </c>
      <c r="E16" s="39">
        <v>1.0378827192528131E-3</v>
      </c>
      <c r="F16" s="39">
        <v>-1.8270401948841837E-3</v>
      </c>
      <c r="G16" s="39">
        <v>2.4844720496894762E-3</v>
      </c>
      <c r="H16" s="39">
        <v>9.1296409007912346E-3</v>
      </c>
      <c r="I16">
        <v>80.64</v>
      </c>
      <c r="J16" s="39">
        <f t="shared" si="0"/>
        <v>-1.7902813299232722E-2</v>
      </c>
    </row>
    <row r="17" spans="1:10" x14ac:dyDescent="0.3">
      <c r="A17" s="36">
        <v>2021</v>
      </c>
      <c r="B17" s="9" t="s">
        <v>46</v>
      </c>
      <c r="C17" s="39">
        <v>-8.8391278727165592E-3</v>
      </c>
      <c r="D17" s="39">
        <v>-4.8721071863579964E-3</v>
      </c>
      <c r="E17" s="39">
        <v>-2.592016588906169E-3</v>
      </c>
      <c r="F17" s="39">
        <v>1.2202562538132314E-3</v>
      </c>
      <c r="G17" s="39">
        <v>3.7174721189590725E-3</v>
      </c>
      <c r="H17" s="39">
        <v>7.2376357056694119E-3</v>
      </c>
      <c r="I17">
        <v>73.3</v>
      </c>
      <c r="J17" s="39">
        <f t="shared" si="0"/>
        <v>-9.1021825396825434E-2</v>
      </c>
    </row>
    <row r="18" spans="1:10" x14ac:dyDescent="0.3">
      <c r="A18" s="36">
        <v>2022</v>
      </c>
      <c r="B18" s="9" t="s">
        <v>31</v>
      </c>
      <c r="C18" s="39">
        <v>-1.070154577883462E-2</v>
      </c>
      <c r="D18" s="39">
        <v>6.7319461444308093E-3</v>
      </c>
      <c r="E18" s="39">
        <v>-1.039501039501128E-3</v>
      </c>
      <c r="F18" s="39">
        <v>6.0938452163311586E-4</v>
      </c>
      <c r="G18" s="39">
        <v>4.3209876543209179E-3</v>
      </c>
      <c r="H18" s="39">
        <v>8.9820359281437123E-3</v>
      </c>
      <c r="I18">
        <v>84.67</v>
      </c>
      <c r="J18" s="39">
        <f t="shared" si="0"/>
        <v>0.15511596180081863</v>
      </c>
    </row>
    <row r="19" spans="1:10" x14ac:dyDescent="0.3">
      <c r="A19" s="36">
        <v>2022</v>
      </c>
      <c r="B19" s="9" t="s">
        <v>35</v>
      </c>
      <c r="C19" s="39">
        <v>-1.2019230769231793E-3</v>
      </c>
      <c r="D19" s="39">
        <v>6.0790273556231003E-3</v>
      </c>
      <c r="E19" s="39">
        <v>3.1217481789803476E-3</v>
      </c>
      <c r="F19" s="39">
        <v>9.1352009744214372E-3</v>
      </c>
      <c r="G19" s="39">
        <v>4.9170251997542186E-3</v>
      </c>
      <c r="H19" s="39">
        <v>6.5281899109791951E-3</v>
      </c>
      <c r="I19">
        <v>94.07</v>
      </c>
      <c r="J19" s="39">
        <f t="shared" si="0"/>
        <v>0.11101925121058216</v>
      </c>
    </row>
    <row r="20" spans="1:10" x14ac:dyDescent="0.3">
      <c r="A20" s="36">
        <v>2022</v>
      </c>
      <c r="B20" s="9" t="s">
        <v>36</v>
      </c>
      <c r="C20" s="39">
        <v>1.3237063778580128E-2</v>
      </c>
      <c r="D20" s="39">
        <v>-1.2084592145014418E-3</v>
      </c>
      <c r="E20" s="39">
        <v>4.6680497925310023E-3</v>
      </c>
      <c r="F20" s="39">
        <v>9.0525045262522634E-3</v>
      </c>
      <c r="G20" s="39">
        <v>6.7278287461773351E-3</v>
      </c>
      <c r="H20" s="39">
        <v>8.8443396226415092E-3</v>
      </c>
      <c r="I20">
        <v>112.87</v>
      </c>
      <c r="J20" s="39">
        <f t="shared" si="0"/>
        <v>0.19985117465717034</v>
      </c>
    </row>
    <row r="21" spans="1:10" x14ac:dyDescent="0.3">
      <c r="A21" s="36">
        <v>2022</v>
      </c>
      <c r="B21" s="9" t="s">
        <v>37</v>
      </c>
      <c r="C21" s="39">
        <v>1.4251781472684119E-2</v>
      </c>
      <c r="D21" s="39">
        <v>1.0284331518451231E-2</v>
      </c>
      <c r="E21" s="39">
        <v>1.0325245224574965E-3</v>
      </c>
      <c r="F21" s="39">
        <v>2.9904306220095697E-2</v>
      </c>
      <c r="G21" s="39">
        <v>1.3365735115431453E-2</v>
      </c>
      <c r="H21" s="39">
        <v>9.9357101110462715E-3</v>
      </c>
      <c r="I21">
        <v>102.97</v>
      </c>
      <c r="J21" s="39">
        <f t="shared" si="0"/>
        <v>-8.7711526534951761E-2</v>
      </c>
    </row>
    <row r="22" spans="1:10" x14ac:dyDescent="0.3">
      <c r="A22" s="36">
        <v>2022</v>
      </c>
      <c r="B22" s="9" t="s">
        <v>38</v>
      </c>
      <c r="C22" s="39">
        <v>1.4637002341920374E-2</v>
      </c>
      <c r="D22" s="39">
        <v>2.9940119760479044E-3</v>
      </c>
      <c r="E22" s="39">
        <v>1.0314595152139691E-3</v>
      </c>
      <c r="F22" s="39">
        <v>1.3937282229965191E-2</v>
      </c>
      <c r="G22" s="39">
        <v>4.1966426858512504E-3</v>
      </c>
      <c r="H22" s="39">
        <v>1.0416666666666567E-2</v>
      </c>
      <c r="I22">
        <v>109.51</v>
      </c>
      <c r="J22" s="39">
        <f t="shared" si="0"/>
        <v>6.3513644750898379E-2</v>
      </c>
    </row>
    <row r="23" spans="1:10" x14ac:dyDescent="0.3">
      <c r="A23" s="36">
        <v>2022</v>
      </c>
      <c r="B23" s="9" t="s">
        <v>39</v>
      </c>
      <c r="C23" s="39">
        <v>9.2325447201384546E-3</v>
      </c>
      <c r="D23" s="39">
        <v>-4.1791044776118723E-3</v>
      </c>
      <c r="E23" s="39">
        <v>1.0303967027306391E-3</v>
      </c>
      <c r="F23" s="39">
        <v>8.0183276059565042E-3</v>
      </c>
      <c r="G23" s="39">
        <v>0</v>
      </c>
      <c r="H23" s="39">
        <v>8.0183276059565042E-3</v>
      </c>
      <c r="I23">
        <v>116.01</v>
      </c>
      <c r="J23" s="39">
        <f t="shared" si="0"/>
        <v>5.9355310017350012E-2</v>
      </c>
    </row>
    <row r="24" spans="1:10" x14ac:dyDescent="0.3">
      <c r="A24" s="36">
        <v>2022</v>
      </c>
      <c r="B24" s="9" t="s">
        <v>40</v>
      </c>
      <c r="C24" s="39">
        <v>5.7175528873638828E-4</v>
      </c>
      <c r="D24" s="39">
        <v>5.9952038369304557E-3</v>
      </c>
      <c r="E24" s="39">
        <v>1.5440041173442251E-3</v>
      </c>
      <c r="F24" s="39">
        <v>2.0454545454545423E-2</v>
      </c>
      <c r="G24" s="39">
        <v>5.3731343283582433E-3</v>
      </c>
      <c r="H24" s="39">
        <v>7.3863636363637013E-3</v>
      </c>
      <c r="I24">
        <v>105.49</v>
      </c>
      <c r="J24" s="39">
        <f t="shared" si="0"/>
        <v>-9.0681837772605897E-2</v>
      </c>
    </row>
    <row r="25" spans="1:10" x14ac:dyDescent="0.3">
      <c r="A25" s="36">
        <v>2022</v>
      </c>
      <c r="B25" s="9" t="s">
        <v>41</v>
      </c>
      <c r="C25" s="39">
        <v>7.4285714285714935E-3</v>
      </c>
      <c r="D25" s="39">
        <v>7.1513706793801465E-3</v>
      </c>
      <c r="E25" s="39">
        <v>2.0554984583761853E-3</v>
      </c>
      <c r="F25" s="39">
        <v>-4.4543429844097048E-3</v>
      </c>
      <c r="G25" s="39">
        <v>4.1567695961994573E-3</v>
      </c>
      <c r="H25" s="39">
        <v>6.7681895093061962E-3</v>
      </c>
      <c r="I25">
        <v>97.4</v>
      </c>
      <c r="J25" s="39">
        <f t="shared" si="0"/>
        <v>-7.6689733624040093E-2</v>
      </c>
    </row>
    <row r="26" spans="1:10" x14ac:dyDescent="0.3">
      <c r="A26" s="36">
        <v>2022</v>
      </c>
      <c r="B26" s="9" t="s">
        <v>42</v>
      </c>
      <c r="C26" s="39">
        <v>8.5082246171298923E-3</v>
      </c>
      <c r="D26" s="39">
        <v>2.9585798816568047E-3</v>
      </c>
      <c r="E26" s="39">
        <v>4.6153846153846444E-3</v>
      </c>
      <c r="F26" s="39">
        <v>3.9149888143176093E-3</v>
      </c>
      <c r="G26" s="39">
        <v>3.548196333530422E-3</v>
      </c>
      <c r="H26" s="39">
        <v>7.8431372549019919E-3</v>
      </c>
      <c r="I26">
        <v>90.71</v>
      </c>
      <c r="J26" s="39">
        <f t="shared" si="0"/>
        <v>-6.8685831622176716E-2</v>
      </c>
    </row>
    <row r="27" spans="1:10" x14ac:dyDescent="0.3">
      <c r="A27" s="36">
        <v>2022</v>
      </c>
      <c r="B27" s="9" t="s">
        <v>43</v>
      </c>
      <c r="C27" s="39">
        <v>1.0123734533183255E-2</v>
      </c>
      <c r="D27" s="39">
        <v>1.0029498525073679E-2</v>
      </c>
      <c r="E27" s="39">
        <v>2.0418580908627142E-3</v>
      </c>
      <c r="F27" s="39">
        <v>5.5710306406685237E-3</v>
      </c>
      <c r="G27" s="39">
        <v>4.7142015321155655E-3</v>
      </c>
      <c r="H27" s="39">
        <v>6.1145080600333197E-3</v>
      </c>
      <c r="I27">
        <v>91.7</v>
      </c>
      <c r="J27" s="39">
        <f t="shared" si="0"/>
        <v>1.0913901444162818E-2</v>
      </c>
    </row>
    <row r="28" spans="1:10" x14ac:dyDescent="0.3">
      <c r="A28" s="36">
        <v>2022</v>
      </c>
      <c r="B28" s="9" t="s">
        <v>45</v>
      </c>
      <c r="C28" s="39">
        <v>-7.2383073496658295E-3</v>
      </c>
      <c r="D28" s="39">
        <v>3.5046728971963948E-3</v>
      </c>
      <c r="E28" s="39">
        <v>3.0565461029036897E-3</v>
      </c>
      <c r="F28" s="39">
        <v>4.4321329639889825E-3</v>
      </c>
      <c r="G28" s="39">
        <v>3.5190615835776792E-3</v>
      </c>
      <c r="H28" s="39">
        <v>6.0773480662983112E-3</v>
      </c>
      <c r="I28">
        <v>87.55</v>
      </c>
      <c r="J28" s="39">
        <f t="shared" si="0"/>
        <v>-4.5256270447110204E-2</v>
      </c>
    </row>
    <row r="29" spans="1:10" x14ac:dyDescent="0.3">
      <c r="A29" s="36">
        <v>2022</v>
      </c>
      <c r="B29" s="9" t="s">
        <v>46</v>
      </c>
      <c r="C29" s="39">
        <v>-1.3460459899046581E-2</v>
      </c>
      <c r="D29" s="39">
        <v>-6.4027939464494921E-3</v>
      </c>
      <c r="E29" s="39">
        <v>2.031488065007647E-3</v>
      </c>
      <c r="F29" s="39">
        <v>3.8610038610037982E-3</v>
      </c>
      <c r="G29" s="39">
        <v>5.2600818234950653E-3</v>
      </c>
      <c r="H29" s="39">
        <v>4.9423393739703777E-3</v>
      </c>
      <c r="I29">
        <v>78.099999999999994</v>
      </c>
      <c r="J29" s="39">
        <f t="shared" si="0"/>
        <v>-0.10793832095945177</v>
      </c>
    </row>
    <row r="30" spans="1:10" x14ac:dyDescent="0.3">
      <c r="A30" s="36">
        <v>2023</v>
      </c>
      <c r="B30" s="9" t="s">
        <v>31</v>
      </c>
      <c r="C30" s="39">
        <v>4.5480386583284984E-3</v>
      </c>
      <c r="D30" s="39">
        <v>8.201523140011751E-3</v>
      </c>
      <c r="E30" s="39">
        <v>4.5615813482005937E-3</v>
      </c>
      <c r="F30" s="39">
        <v>0</v>
      </c>
      <c r="G30" s="39">
        <v>4.6511627906977403E-3</v>
      </c>
      <c r="H30" s="39">
        <v>4.3715846994536144E-3</v>
      </c>
      <c r="I30">
        <v>80.92</v>
      </c>
      <c r="J30" s="39">
        <f t="shared" si="0"/>
        <v>3.6107554417413666E-2</v>
      </c>
    </row>
    <row r="31" spans="1:10" x14ac:dyDescent="0.3">
      <c r="A31" s="36">
        <v>2023</v>
      </c>
      <c r="B31" s="9" t="s">
        <v>35</v>
      </c>
      <c r="C31" s="39">
        <v>1.6977928692700134E-3</v>
      </c>
      <c r="D31" s="39">
        <v>8.1348053457292614E-3</v>
      </c>
      <c r="E31" s="39">
        <v>6.5590312815338621E-3</v>
      </c>
      <c r="F31" s="39">
        <v>5.4945054945051823E-4</v>
      </c>
      <c r="G31" s="39">
        <v>7.5231481481480489E-3</v>
      </c>
      <c r="H31" s="39">
        <v>7.0729053318823879E-3</v>
      </c>
      <c r="I31">
        <v>82.28</v>
      </c>
      <c r="J31" s="39">
        <f t="shared" si="0"/>
        <v>1.6806722689075623E-2</v>
      </c>
    </row>
    <row r="32" spans="1:10" x14ac:dyDescent="0.3">
      <c r="A32" s="36">
        <v>2023</v>
      </c>
      <c r="B32" s="9" t="s">
        <v>36</v>
      </c>
      <c r="C32" s="39">
        <v>0</v>
      </c>
      <c r="D32" s="39">
        <v>0</v>
      </c>
      <c r="E32" s="39">
        <v>0</v>
      </c>
      <c r="F32" s="39">
        <v>-1.0982976386600144E-3</v>
      </c>
      <c r="G32" s="39">
        <v>0</v>
      </c>
      <c r="H32" s="39">
        <v>0</v>
      </c>
      <c r="I32">
        <v>78.540000000000006</v>
      </c>
      <c r="J32" s="39">
        <f t="shared" si="0"/>
        <v>-4.5454545454545393E-2</v>
      </c>
    </row>
    <row r="33" spans="1:10" x14ac:dyDescent="0.3">
      <c r="A33" s="36">
        <v>2023</v>
      </c>
      <c r="B33" s="9" t="s">
        <v>37</v>
      </c>
      <c r="C33" s="39">
        <v>5.0847457627118961E-3</v>
      </c>
      <c r="D33" s="39">
        <v>9.7982708933716921E-3</v>
      </c>
      <c r="E33" s="39">
        <v>5.5137844611528536E-3</v>
      </c>
      <c r="F33" s="39">
        <v>-1.0995052226499013E-3</v>
      </c>
      <c r="G33" s="39">
        <v>5.1694428489374254E-3</v>
      </c>
      <c r="H33" s="39">
        <v>3.2414910858994833E-3</v>
      </c>
      <c r="I33">
        <v>83.76</v>
      </c>
      <c r="J33" s="39">
        <f t="shared" si="0"/>
        <v>6.6462948815889974E-2</v>
      </c>
    </row>
    <row r="34" spans="1:10" x14ac:dyDescent="0.3">
      <c r="A34" s="36">
        <v>2023</v>
      </c>
      <c r="B34" s="9" t="s">
        <v>38</v>
      </c>
      <c r="C34" s="39">
        <v>6.7453625632377095E-3</v>
      </c>
      <c r="D34" s="39">
        <v>2.2831050228310826E-3</v>
      </c>
      <c r="E34" s="39">
        <v>1.9940179461615439E-3</v>
      </c>
      <c r="F34" s="39">
        <v>6.0539350577876877E-3</v>
      </c>
      <c r="G34" s="39">
        <v>3.999999999999935E-3</v>
      </c>
      <c r="H34" s="39">
        <v>2.6925148088314489E-3</v>
      </c>
      <c r="I34">
        <v>74.98</v>
      </c>
      <c r="J34" s="39">
        <f t="shared" si="0"/>
        <v>-0.10482330468003821</v>
      </c>
    </row>
    <row r="38" spans="1:10" x14ac:dyDescent="0.3">
      <c r="A38" s="44" t="s">
        <v>91</v>
      </c>
      <c r="B38" s="44" t="s">
        <v>163</v>
      </c>
      <c r="C38" s="44" t="s">
        <v>164</v>
      </c>
    </row>
    <row r="39" spans="1:10" x14ac:dyDescent="0.3">
      <c r="A39" t="s">
        <v>15</v>
      </c>
      <c r="B39">
        <v>9.1867615530791813E-2</v>
      </c>
      <c r="C39" t="s">
        <v>184</v>
      </c>
    </row>
    <row r="40" spans="1:10" x14ac:dyDescent="0.3">
      <c r="A40" t="s">
        <v>20</v>
      </c>
      <c r="B40">
        <v>0.12728295485589869</v>
      </c>
      <c r="C40" t="s">
        <v>182</v>
      </c>
    </row>
    <row r="41" spans="1:10" x14ac:dyDescent="0.3">
      <c r="A41" t="s">
        <v>16</v>
      </c>
      <c r="B41">
        <v>0.15649436195618496</v>
      </c>
      <c r="C41" t="s">
        <v>180</v>
      </c>
    </row>
    <row r="42" spans="1:10" x14ac:dyDescent="0.3">
      <c r="A42" t="s">
        <v>21</v>
      </c>
      <c r="B42">
        <v>0.11354468408955375</v>
      </c>
      <c r="C42" t="s">
        <v>183</v>
      </c>
    </row>
    <row r="43" spans="1:10" x14ac:dyDescent="0.3">
      <c r="A43" t="s">
        <v>28</v>
      </c>
      <c r="B43">
        <v>9.4322616051216765E-2</v>
      </c>
      <c r="C43" t="s">
        <v>182</v>
      </c>
    </row>
    <row r="44" spans="1:10" x14ac:dyDescent="0.3">
      <c r="A44" t="s">
        <v>19</v>
      </c>
      <c r="B44">
        <v>0.13293294638046874</v>
      </c>
      <c r="C44" t="s">
        <v>181</v>
      </c>
    </row>
  </sheetData>
  <pageMargins left="0.7" right="0.7" top="0.75" bottom="0.75" header="0.3" footer="0.3"/>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98D56-8506-4E15-B191-82E552FC9063}">
  <dimension ref="A2:O109"/>
  <sheetViews>
    <sheetView zoomScale="109" workbookViewId="0">
      <selection activeCell="L85" sqref="L85"/>
    </sheetView>
  </sheetViews>
  <sheetFormatPr defaultRowHeight="14.4" x14ac:dyDescent="0.3"/>
  <cols>
    <col min="1" max="1" width="10.5546875" customWidth="1"/>
    <col min="7" max="7" width="8.109375" customWidth="1"/>
    <col min="12" max="12" width="24.88671875" customWidth="1"/>
    <col min="13" max="13" width="34.33203125" customWidth="1"/>
    <col min="14" max="14" width="49.77734375" bestFit="1" customWidth="1"/>
  </cols>
  <sheetData>
    <row r="2" spans="1:14" x14ac:dyDescent="0.3">
      <c r="A2" s="22" t="s">
        <v>167</v>
      </c>
      <c r="B2" s="22"/>
      <c r="C2" s="22"/>
      <c r="D2" s="22"/>
      <c r="E2" s="22"/>
      <c r="F2" s="22"/>
      <c r="G2" s="22"/>
      <c r="H2" s="22"/>
      <c r="I2" s="22"/>
      <c r="L2" s="22" t="s">
        <v>168</v>
      </c>
      <c r="M2" s="22"/>
      <c r="N2" s="22"/>
    </row>
    <row r="3" spans="1:14" x14ac:dyDescent="0.3">
      <c r="A3" s="22" t="s">
        <v>165</v>
      </c>
      <c r="B3" s="22"/>
      <c r="C3" s="22"/>
      <c r="D3" s="22"/>
      <c r="E3" s="22"/>
      <c r="F3" s="22"/>
      <c r="G3" s="22"/>
      <c r="H3" s="22"/>
      <c r="I3" s="22"/>
      <c r="L3" s="22" t="s">
        <v>169</v>
      </c>
      <c r="M3" s="22"/>
      <c r="N3" s="22"/>
    </row>
    <row r="4" spans="1:14" x14ac:dyDescent="0.3">
      <c r="A4" s="22" t="s">
        <v>166</v>
      </c>
      <c r="B4" s="22"/>
      <c r="C4" s="22"/>
      <c r="D4" s="22"/>
      <c r="E4" s="22"/>
      <c r="F4" s="22"/>
      <c r="G4" s="22"/>
      <c r="H4" s="22"/>
      <c r="I4" s="22"/>
      <c r="L4" s="22" t="s">
        <v>170</v>
      </c>
      <c r="M4" s="22"/>
      <c r="N4" s="22"/>
    </row>
    <row r="27" spans="1:14" x14ac:dyDescent="0.3">
      <c r="A27" s="55" t="s">
        <v>92</v>
      </c>
      <c r="B27" s="49" t="s">
        <v>186</v>
      </c>
      <c r="C27" s="49"/>
      <c r="D27" s="49"/>
      <c r="E27" s="49"/>
      <c r="F27" s="49"/>
      <c r="G27" s="49"/>
      <c r="H27" s="49"/>
      <c r="I27" s="49"/>
      <c r="L27" s="18" t="s">
        <v>105</v>
      </c>
      <c r="M27" s="50" t="s">
        <v>187</v>
      </c>
      <c r="N27" s="50"/>
    </row>
    <row r="28" spans="1:14" x14ac:dyDescent="0.3">
      <c r="A28" s="55"/>
      <c r="B28" s="49"/>
      <c r="C28" s="49"/>
      <c r="D28" s="49"/>
      <c r="E28" s="49"/>
      <c r="F28" s="49"/>
      <c r="G28" s="49"/>
      <c r="H28" s="49"/>
      <c r="I28" s="49"/>
      <c r="L28" s="18"/>
      <c r="M28" s="50"/>
      <c r="N28" s="50"/>
    </row>
    <row r="34" spans="8:13" x14ac:dyDescent="0.3">
      <c r="H34" s="22" t="s">
        <v>171</v>
      </c>
      <c r="I34" s="22"/>
      <c r="J34" s="22"/>
      <c r="K34" s="22"/>
      <c r="L34" s="22"/>
      <c r="M34" s="22"/>
    </row>
    <row r="35" spans="8:13" x14ac:dyDescent="0.3">
      <c r="H35" s="22" t="s">
        <v>172</v>
      </c>
      <c r="I35" s="22"/>
      <c r="J35" s="22"/>
      <c r="K35" s="22"/>
      <c r="L35" s="22"/>
      <c r="M35" s="22"/>
    </row>
    <row r="36" spans="8:13" x14ac:dyDescent="0.3">
      <c r="H36" s="22" t="s">
        <v>173</v>
      </c>
      <c r="I36" s="22"/>
      <c r="J36" s="22"/>
      <c r="K36" s="22"/>
      <c r="L36" s="22"/>
      <c r="M36" s="22"/>
    </row>
    <row r="55" spans="1:14" ht="14.4" customHeight="1" x14ac:dyDescent="0.3">
      <c r="A55" s="28" t="s">
        <v>105</v>
      </c>
      <c r="B55" s="45" t="s">
        <v>188</v>
      </c>
      <c r="C55" s="45"/>
      <c r="D55" s="45"/>
      <c r="E55" s="45"/>
      <c r="F55" s="45"/>
      <c r="G55" s="45"/>
      <c r="H55" s="45"/>
      <c r="I55" s="45"/>
      <c r="K55" s="29" t="s">
        <v>105</v>
      </c>
      <c r="L55" s="46" t="s">
        <v>189</v>
      </c>
      <c r="M55" s="46"/>
      <c r="N55" s="46"/>
    </row>
    <row r="56" spans="1:14" x14ac:dyDescent="0.3">
      <c r="A56" s="28"/>
      <c r="B56" s="45"/>
      <c r="C56" s="45"/>
      <c r="D56" s="45"/>
      <c r="E56" s="45"/>
      <c r="F56" s="45"/>
      <c r="G56" s="45"/>
      <c r="H56" s="45"/>
      <c r="I56" s="45"/>
      <c r="K56" s="29"/>
      <c r="L56" s="46"/>
      <c r="M56" s="46"/>
      <c r="N56" s="46"/>
    </row>
    <row r="62" spans="1:14" x14ac:dyDescent="0.3">
      <c r="G62" s="22" t="s">
        <v>174</v>
      </c>
      <c r="H62" s="22"/>
      <c r="I62" s="22"/>
      <c r="J62" s="22"/>
      <c r="K62" s="22"/>
      <c r="L62" s="22"/>
      <c r="M62" s="22"/>
    </row>
    <row r="63" spans="1:14" x14ac:dyDescent="0.3">
      <c r="G63" s="22" t="s">
        <v>175</v>
      </c>
      <c r="H63" s="22"/>
      <c r="I63" s="22"/>
      <c r="J63" s="22"/>
      <c r="K63" s="22"/>
      <c r="L63" s="22"/>
      <c r="M63" s="22"/>
    </row>
    <row r="64" spans="1:14" x14ac:dyDescent="0.3">
      <c r="G64" s="22" t="s">
        <v>176</v>
      </c>
      <c r="H64" s="22"/>
      <c r="I64" s="22"/>
      <c r="J64" s="22"/>
      <c r="K64" s="22"/>
      <c r="L64" s="22"/>
      <c r="M64" s="22"/>
    </row>
    <row r="85" spans="1:14" ht="14.4" customHeight="1" x14ac:dyDescent="0.3">
      <c r="A85" s="35" t="s">
        <v>139</v>
      </c>
      <c r="B85" s="35" t="s">
        <v>140</v>
      </c>
      <c r="C85" s="35"/>
      <c r="D85" s="35"/>
      <c r="E85" s="35"/>
      <c r="F85" s="35"/>
      <c r="G85" s="35"/>
      <c r="H85" s="35"/>
      <c r="I85" s="35"/>
      <c r="J85" s="35"/>
      <c r="L85" s="35" t="s">
        <v>105</v>
      </c>
      <c r="M85" s="47" t="s">
        <v>190</v>
      </c>
      <c r="N85" s="47"/>
    </row>
    <row r="86" spans="1:14" x14ac:dyDescent="0.3">
      <c r="A86" s="35"/>
      <c r="B86" s="35" t="s">
        <v>141</v>
      </c>
      <c r="C86" s="35"/>
      <c r="D86" s="35"/>
      <c r="E86" s="35"/>
      <c r="F86" s="35"/>
      <c r="G86" s="35"/>
      <c r="H86" s="35"/>
      <c r="I86" s="35"/>
      <c r="J86" s="35"/>
      <c r="L86" s="35"/>
      <c r="M86" s="47"/>
      <c r="N86" s="47"/>
    </row>
    <row r="87" spans="1:14" x14ac:dyDescent="0.3">
      <c r="L87" s="35"/>
      <c r="M87" s="47"/>
      <c r="N87" s="47"/>
    </row>
    <row r="88" spans="1:14" x14ac:dyDescent="0.3">
      <c r="A88" s="35" t="s">
        <v>142</v>
      </c>
      <c r="B88" s="35" t="s">
        <v>143</v>
      </c>
      <c r="C88" s="35"/>
      <c r="D88" s="35"/>
      <c r="E88" s="35"/>
      <c r="F88" s="35"/>
      <c r="G88" s="35"/>
      <c r="H88" s="35"/>
      <c r="I88" s="35"/>
      <c r="J88" s="35"/>
    </row>
    <row r="89" spans="1:14" x14ac:dyDescent="0.3">
      <c r="A89" s="35"/>
      <c r="B89" s="35" t="s">
        <v>144</v>
      </c>
      <c r="C89" s="35"/>
      <c r="D89" s="35"/>
      <c r="E89" s="35"/>
      <c r="F89" s="35"/>
      <c r="G89" s="35"/>
      <c r="H89" s="35"/>
      <c r="I89" s="35"/>
      <c r="J89" s="35"/>
    </row>
    <row r="91" spans="1:14" x14ac:dyDescent="0.3">
      <c r="H91" s="22" t="s">
        <v>177</v>
      </c>
      <c r="I91" s="22"/>
      <c r="J91" s="22"/>
      <c r="K91" s="22"/>
      <c r="L91" s="22"/>
      <c r="M91" s="22"/>
    </row>
    <row r="92" spans="1:14" x14ac:dyDescent="0.3">
      <c r="H92" s="22" t="s">
        <v>178</v>
      </c>
      <c r="I92" s="22"/>
      <c r="J92" s="22"/>
      <c r="K92" s="22"/>
      <c r="L92" s="22"/>
      <c r="M92" s="22"/>
    </row>
    <row r="93" spans="1:14" x14ac:dyDescent="0.3">
      <c r="H93" s="22" t="s">
        <v>179</v>
      </c>
      <c r="I93" s="22"/>
      <c r="J93" s="22"/>
      <c r="K93" s="22"/>
      <c r="L93" s="22"/>
      <c r="M93" s="22"/>
    </row>
    <row r="97" spans="12:15" x14ac:dyDescent="0.3">
      <c r="L97" s="44" t="s">
        <v>91</v>
      </c>
      <c r="M97" s="44" t="s">
        <v>163</v>
      </c>
      <c r="N97" s="44" t="s">
        <v>164</v>
      </c>
      <c r="O97" s="6"/>
    </row>
    <row r="98" spans="12:15" x14ac:dyDescent="0.3">
      <c r="L98" t="s">
        <v>15</v>
      </c>
      <c r="M98">
        <v>9.1867615530791813E-2</v>
      </c>
      <c r="N98" t="s">
        <v>184</v>
      </c>
    </row>
    <row r="99" spans="12:15" x14ac:dyDescent="0.3">
      <c r="L99" t="s">
        <v>20</v>
      </c>
      <c r="M99">
        <v>0.12728295485589869</v>
      </c>
      <c r="N99" t="s">
        <v>182</v>
      </c>
    </row>
    <row r="100" spans="12:15" x14ac:dyDescent="0.3">
      <c r="L100" t="s">
        <v>16</v>
      </c>
      <c r="M100">
        <v>0.15649436195618496</v>
      </c>
      <c r="N100" t="s">
        <v>180</v>
      </c>
    </row>
    <row r="101" spans="12:15" x14ac:dyDescent="0.3">
      <c r="L101" t="s">
        <v>21</v>
      </c>
      <c r="M101">
        <v>0.11354468408955375</v>
      </c>
      <c r="N101" t="s">
        <v>183</v>
      </c>
    </row>
    <row r="102" spans="12:15" x14ac:dyDescent="0.3">
      <c r="L102" t="s">
        <v>28</v>
      </c>
      <c r="M102">
        <v>9.4322616051216765E-2</v>
      </c>
      <c r="N102" t="s">
        <v>182</v>
      </c>
    </row>
    <row r="103" spans="12:15" x14ac:dyDescent="0.3">
      <c r="L103" t="s">
        <v>19</v>
      </c>
      <c r="M103">
        <v>0.13293294638046874</v>
      </c>
      <c r="N103" t="s">
        <v>181</v>
      </c>
    </row>
    <row r="107" spans="12:15" x14ac:dyDescent="0.3">
      <c r="L107" s="29"/>
      <c r="M107" s="46" t="s">
        <v>185</v>
      </c>
      <c r="N107" s="46"/>
    </row>
    <row r="108" spans="12:15" x14ac:dyDescent="0.3">
      <c r="L108" s="29" t="s">
        <v>105</v>
      </c>
      <c r="M108" s="46"/>
      <c r="N108" s="46"/>
    </row>
    <row r="109" spans="12:15" x14ac:dyDescent="0.3">
      <c r="L109" s="29"/>
      <c r="M109" s="46"/>
      <c r="N109" s="46"/>
    </row>
  </sheetData>
  <mergeCells count="6">
    <mergeCell ref="M107:N109"/>
    <mergeCell ref="B27:I28"/>
    <mergeCell ref="M27:N28"/>
    <mergeCell ref="B55:I56"/>
    <mergeCell ref="L55:N56"/>
    <mergeCell ref="M85:N87"/>
  </mergeCells>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0B8B0-F624-4EDC-AA7B-E782D0F21642}">
  <dimension ref="A1:C31"/>
  <sheetViews>
    <sheetView workbookViewId="0">
      <selection activeCell="B21" sqref="B21"/>
    </sheetView>
  </sheetViews>
  <sheetFormatPr defaultRowHeight="14.4" x14ac:dyDescent="0.3"/>
  <cols>
    <col min="1" max="1" width="35.6640625" customWidth="1"/>
    <col min="2" max="2" width="70.33203125" customWidth="1"/>
    <col min="3" max="3" width="29.21875" customWidth="1"/>
  </cols>
  <sheetData>
    <row r="1" spans="1:3" ht="18" customHeight="1" x14ac:dyDescent="0.3">
      <c r="A1" s="1" t="s">
        <v>47</v>
      </c>
      <c r="B1" s="1" t="s">
        <v>48</v>
      </c>
      <c r="C1" s="1" t="s">
        <v>91</v>
      </c>
    </row>
    <row r="2" spans="1:3" x14ac:dyDescent="0.3">
      <c r="A2" s="2" t="s">
        <v>0</v>
      </c>
      <c r="B2" s="2" t="s">
        <v>49</v>
      </c>
    </row>
    <row r="3" spans="1:3" x14ac:dyDescent="0.3">
      <c r="A3" s="2" t="s">
        <v>1</v>
      </c>
      <c r="B3" s="2" t="s">
        <v>50</v>
      </c>
    </row>
    <row r="4" spans="1:3" x14ac:dyDescent="0.3">
      <c r="A4" s="2" t="s">
        <v>2</v>
      </c>
      <c r="B4" s="2" t="s">
        <v>51</v>
      </c>
    </row>
    <row r="5" spans="1:3" x14ac:dyDescent="0.3">
      <c r="A5" s="2" t="s">
        <v>3</v>
      </c>
      <c r="B5" s="2" t="s">
        <v>52</v>
      </c>
      <c r="C5" t="s">
        <v>79</v>
      </c>
    </row>
    <row r="6" spans="1:3" x14ac:dyDescent="0.3">
      <c r="A6" s="2" t="s">
        <v>4</v>
      </c>
      <c r="B6" s="2" t="s">
        <v>53</v>
      </c>
      <c r="C6" t="s">
        <v>79</v>
      </c>
    </row>
    <row r="7" spans="1:3" x14ac:dyDescent="0.3">
      <c r="A7" s="2" t="s">
        <v>5</v>
      </c>
      <c r="B7" s="2" t="s">
        <v>54</v>
      </c>
      <c r="C7" t="s">
        <v>79</v>
      </c>
    </row>
    <row r="8" spans="1:3" x14ac:dyDescent="0.3">
      <c r="A8" s="2" t="s">
        <v>6</v>
      </c>
      <c r="B8" s="2" t="s">
        <v>55</v>
      </c>
      <c r="C8" t="s">
        <v>79</v>
      </c>
    </row>
    <row r="9" spans="1:3" x14ac:dyDescent="0.3">
      <c r="A9" s="2" t="s">
        <v>7</v>
      </c>
      <c r="B9" s="2" t="s">
        <v>56</v>
      </c>
      <c r="C9" t="s">
        <v>79</v>
      </c>
    </row>
    <row r="10" spans="1:3" x14ac:dyDescent="0.3">
      <c r="A10" s="2" t="s">
        <v>8</v>
      </c>
      <c r="B10" s="2" t="s">
        <v>57</v>
      </c>
      <c r="C10" t="s">
        <v>79</v>
      </c>
    </row>
    <row r="11" spans="1:3" x14ac:dyDescent="0.3">
      <c r="A11" s="2" t="s">
        <v>9</v>
      </c>
      <c r="B11" s="2" t="s">
        <v>58</v>
      </c>
      <c r="C11" t="s">
        <v>79</v>
      </c>
    </row>
    <row r="12" spans="1:3" x14ac:dyDescent="0.3">
      <c r="A12" s="2" t="s">
        <v>10</v>
      </c>
      <c r="B12" s="2" t="s">
        <v>59</v>
      </c>
      <c r="C12" t="s">
        <v>79</v>
      </c>
    </row>
    <row r="13" spans="1:3" x14ac:dyDescent="0.3">
      <c r="A13" s="2" t="s">
        <v>11</v>
      </c>
      <c r="B13" s="2" t="s">
        <v>60</v>
      </c>
      <c r="C13" t="s">
        <v>79</v>
      </c>
    </row>
    <row r="14" spans="1:3" x14ac:dyDescent="0.3">
      <c r="A14" s="2" t="s">
        <v>12</v>
      </c>
      <c r="B14" s="2" t="s">
        <v>61</v>
      </c>
      <c r="C14" t="s">
        <v>79</v>
      </c>
    </row>
    <row r="15" spans="1:3" x14ac:dyDescent="0.3">
      <c r="A15" s="2" t="s">
        <v>13</v>
      </c>
      <c r="B15" s="2" t="s">
        <v>62</v>
      </c>
      <c r="C15" t="s">
        <v>79</v>
      </c>
    </row>
    <row r="16" spans="1:3" x14ac:dyDescent="0.3">
      <c r="A16" s="2" t="s">
        <v>14</v>
      </c>
      <c r="B16" s="2" t="s">
        <v>63</v>
      </c>
      <c r="C16" t="s">
        <v>79</v>
      </c>
    </row>
    <row r="17" spans="1:3" x14ac:dyDescent="0.3">
      <c r="A17" s="2" t="s">
        <v>15</v>
      </c>
      <c r="B17" s="2" t="s">
        <v>64</v>
      </c>
      <c r="C17" t="s">
        <v>79</v>
      </c>
    </row>
    <row r="18" spans="1:3" x14ac:dyDescent="0.3">
      <c r="A18" s="2" t="s">
        <v>16</v>
      </c>
      <c r="B18" s="2" t="s">
        <v>65</v>
      </c>
      <c r="C18" t="s">
        <v>80</v>
      </c>
    </row>
    <row r="19" spans="1:3" x14ac:dyDescent="0.3">
      <c r="A19" s="2" t="s">
        <v>17</v>
      </c>
      <c r="B19" s="2" t="s">
        <v>66</v>
      </c>
      <c r="C19" t="s">
        <v>81</v>
      </c>
    </row>
    <row r="20" spans="1:3" x14ac:dyDescent="0.3">
      <c r="A20" s="2" t="s">
        <v>18</v>
      </c>
      <c r="B20" s="2" t="s">
        <v>67</v>
      </c>
      <c r="C20" t="s">
        <v>81</v>
      </c>
    </row>
    <row r="21" spans="1:3" x14ac:dyDescent="0.3">
      <c r="A21" s="2" t="s">
        <v>19</v>
      </c>
      <c r="B21" s="2" t="s">
        <v>68</v>
      </c>
      <c r="C21" t="s">
        <v>81</v>
      </c>
    </row>
    <row r="22" spans="1:3" x14ac:dyDescent="0.3">
      <c r="A22" s="2" t="s">
        <v>20</v>
      </c>
      <c r="B22" s="2" t="s">
        <v>69</v>
      </c>
      <c r="C22" t="s">
        <v>20</v>
      </c>
    </row>
    <row r="23" spans="1:3" x14ac:dyDescent="0.3">
      <c r="A23" s="2" t="s">
        <v>21</v>
      </c>
      <c r="B23" s="2" t="s">
        <v>70</v>
      </c>
      <c r="C23" t="s">
        <v>82</v>
      </c>
    </row>
    <row r="24" spans="1:3" x14ac:dyDescent="0.3">
      <c r="A24" s="2" t="s">
        <v>22</v>
      </c>
      <c r="B24" s="2" t="s">
        <v>71</v>
      </c>
      <c r="C24" t="s">
        <v>20</v>
      </c>
    </row>
    <row r="25" spans="1:3" x14ac:dyDescent="0.3">
      <c r="A25" s="2" t="s">
        <v>23</v>
      </c>
      <c r="B25" s="2" t="s">
        <v>72</v>
      </c>
      <c r="C25" t="s">
        <v>28</v>
      </c>
    </row>
    <row r="26" spans="1:3" x14ac:dyDescent="0.3">
      <c r="A26" s="2" t="s">
        <v>24</v>
      </c>
      <c r="B26" s="2" t="s">
        <v>73</v>
      </c>
      <c r="C26" t="s">
        <v>28</v>
      </c>
    </row>
    <row r="27" spans="1:3" x14ac:dyDescent="0.3">
      <c r="A27" s="2" t="s">
        <v>25</v>
      </c>
      <c r="B27" s="2" t="s">
        <v>74</v>
      </c>
      <c r="C27" t="s">
        <v>28</v>
      </c>
    </row>
    <row r="28" spans="1:3" x14ac:dyDescent="0.3">
      <c r="A28" s="2" t="s">
        <v>26</v>
      </c>
      <c r="B28" s="2" t="s">
        <v>75</v>
      </c>
      <c r="C28" t="s">
        <v>28</v>
      </c>
    </row>
    <row r="29" spans="1:3" x14ac:dyDescent="0.3">
      <c r="A29" s="2" t="s">
        <v>27</v>
      </c>
      <c r="B29" s="2" t="s">
        <v>76</v>
      </c>
      <c r="C29" t="s">
        <v>28</v>
      </c>
    </row>
    <row r="30" spans="1:3" x14ac:dyDescent="0.3">
      <c r="A30" s="2" t="s">
        <v>28</v>
      </c>
      <c r="B30" s="2" t="s">
        <v>77</v>
      </c>
      <c r="C30" t="s">
        <v>28</v>
      </c>
    </row>
    <row r="31" spans="1:3" x14ac:dyDescent="0.3">
      <c r="A31" s="2" t="s">
        <v>29</v>
      </c>
      <c r="B31" s="2" t="s">
        <v>78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FD3EF-722F-4455-A16C-6527522FF4E6}">
  <dimension ref="A1:E30"/>
  <sheetViews>
    <sheetView workbookViewId="0">
      <pane ySplit="1" topLeftCell="A5" activePane="bottomLeft" state="frozen"/>
      <selection pane="bottomLeft" activeCell="M24" sqref="M24"/>
    </sheetView>
  </sheetViews>
  <sheetFormatPr defaultRowHeight="14.4" x14ac:dyDescent="0.3"/>
  <cols>
    <col min="1" max="1" width="14" customWidth="1"/>
    <col min="2" max="2" width="10" customWidth="1"/>
    <col min="3" max="3" width="14" customWidth="1"/>
    <col min="4" max="4" width="30" customWidth="1"/>
    <col min="5" max="5" width="18" customWidth="1"/>
  </cols>
  <sheetData>
    <row r="1" spans="1:5" x14ac:dyDescent="0.3">
      <c r="A1" s="42" t="s">
        <v>154</v>
      </c>
      <c r="B1" s="42" t="s">
        <v>1</v>
      </c>
      <c r="C1" s="42" t="s">
        <v>2</v>
      </c>
      <c r="D1" s="42" t="s">
        <v>153</v>
      </c>
      <c r="E1" s="42" t="s">
        <v>152</v>
      </c>
    </row>
    <row r="2" spans="1:5" x14ac:dyDescent="0.3">
      <c r="A2" s="41">
        <v>44197</v>
      </c>
      <c r="B2">
        <v>2021</v>
      </c>
      <c r="C2" t="s">
        <v>31</v>
      </c>
      <c r="D2" s="40">
        <v>54.79</v>
      </c>
      <c r="E2" s="11"/>
    </row>
    <row r="3" spans="1:5" x14ac:dyDescent="0.3">
      <c r="A3" s="41">
        <v>44228</v>
      </c>
      <c r="B3">
        <v>2021</v>
      </c>
      <c r="C3" t="s">
        <v>35</v>
      </c>
      <c r="D3" s="40">
        <v>61.22</v>
      </c>
      <c r="E3" s="11">
        <f t="shared" ref="E3:E30" si="0">(D3-D2)/D2</f>
        <v>0.11735718196751231</v>
      </c>
    </row>
    <row r="4" spans="1:5" x14ac:dyDescent="0.3">
      <c r="A4" s="41">
        <v>44256</v>
      </c>
      <c r="B4">
        <v>2021</v>
      </c>
      <c r="C4" t="s">
        <v>36</v>
      </c>
      <c r="D4" s="40">
        <v>64.73</v>
      </c>
      <c r="E4" s="11">
        <f t="shared" si="0"/>
        <v>5.7334204508330697E-2</v>
      </c>
    </row>
    <row r="5" spans="1:5" x14ac:dyDescent="0.3">
      <c r="A5" s="41">
        <v>44287</v>
      </c>
      <c r="B5">
        <v>2021</v>
      </c>
      <c r="C5" t="s">
        <v>37</v>
      </c>
      <c r="D5" s="40">
        <v>63.4</v>
      </c>
      <c r="E5" s="11">
        <f t="shared" si="0"/>
        <v>-2.0546887069365138E-2</v>
      </c>
    </row>
    <row r="6" spans="1:5" x14ac:dyDescent="0.3">
      <c r="A6" s="41">
        <v>44317</v>
      </c>
      <c r="B6">
        <v>2021</v>
      </c>
      <c r="C6" t="s">
        <v>38</v>
      </c>
      <c r="D6" s="40">
        <v>66.95</v>
      </c>
      <c r="E6" s="11">
        <f t="shared" si="0"/>
        <v>5.5993690851735084E-2</v>
      </c>
    </row>
    <row r="7" spans="1:5" x14ac:dyDescent="0.3">
      <c r="A7" s="41">
        <v>44348</v>
      </c>
      <c r="B7">
        <v>2021</v>
      </c>
      <c r="C7" t="s">
        <v>39</v>
      </c>
      <c r="D7" s="40">
        <v>71.98</v>
      </c>
      <c r="E7" s="11">
        <f t="shared" si="0"/>
        <v>7.5130694548170285E-2</v>
      </c>
    </row>
    <row r="8" spans="1:5" x14ac:dyDescent="0.3">
      <c r="A8" s="41">
        <v>44378</v>
      </c>
      <c r="B8">
        <v>2021</v>
      </c>
      <c r="C8" t="s">
        <v>40</v>
      </c>
      <c r="D8" s="40">
        <v>73.540000000000006</v>
      </c>
      <c r="E8" s="11">
        <f t="shared" si="0"/>
        <v>2.1672686857460436E-2</v>
      </c>
    </row>
    <row r="9" spans="1:5" x14ac:dyDescent="0.3">
      <c r="A9" s="41">
        <v>44409</v>
      </c>
      <c r="B9">
        <v>2021</v>
      </c>
      <c r="C9" t="s">
        <v>41</v>
      </c>
      <c r="D9" s="40">
        <v>69.8</v>
      </c>
      <c r="E9" s="11">
        <f t="shared" si="0"/>
        <v>-5.0856676638564163E-2</v>
      </c>
    </row>
    <row r="10" spans="1:5" x14ac:dyDescent="0.3">
      <c r="A10" s="41">
        <v>44440</v>
      </c>
      <c r="B10">
        <v>2021</v>
      </c>
      <c r="C10" t="s">
        <v>42</v>
      </c>
      <c r="D10" s="40">
        <v>73.13</v>
      </c>
      <c r="E10" s="11">
        <f t="shared" si="0"/>
        <v>4.7707736389684792E-2</v>
      </c>
    </row>
    <row r="11" spans="1:5" x14ac:dyDescent="0.3">
      <c r="A11" s="41">
        <v>44470</v>
      </c>
      <c r="B11">
        <v>2021</v>
      </c>
      <c r="C11" t="s">
        <v>43</v>
      </c>
      <c r="D11" s="40">
        <v>82.11</v>
      </c>
      <c r="E11" s="11">
        <f t="shared" si="0"/>
        <v>0.12279502256255989</v>
      </c>
    </row>
    <row r="12" spans="1:5" x14ac:dyDescent="0.3">
      <c r="A12" s="41">
        <v>44501</v>
      </c>
      <c r="B12">
        <v>2021</v>
      </c>
      <c r="C12" t="s">
        <v>45</v>
      </c>
      <c r="D12" s="40">
        <v>80.64</v>
      </c>
      <c r="E12" s="11">
        <f t="shared" si="0"/>
        <v>-1.7902813299232722E-2</v>
      </c>
    </row>
    <row r="13" spans="1:5" x14ac:dyDescent="0.3">
      <c r="A13" s="41">
        <v>44531</v>
      </c>
      <c r="B13">
        <v>2021</v>
      </c>
      <c r="C13" t="s">
        <v>46</v>
      </c>
      <c r="D13" s="40">
        <v>73.3</v>
      </c>
      <c r="E13" s="11">
        <f t="shared" si="0"/>
        <v>-9.1021825396825434E-2</v>
      </c>
    </row>
    <row r="14" spans="1:5" x14ac:dyDescent="0.3">
      <c r="A14" s="41">
        <v>44562</v>
      </c>
      <c r="B14">
        <v>2022</v>
      </c>
      <c r="C14" t="s">
        <v>31</v>
      </c>
      <c r="D14" s="40">
        <v>80.92</v>
      </c>
      <c r="E14" s="11">
        <f t="shared" si="0"/>
        <v>0.10395634379263308</v>
      </c>
    </row>
    <row r="15" spans="1:5" x14ac:dyDescent="0.3">
      <c r="A15" s="41">
        <v>44593</v>
      </c>
      <c r="B15">
        <v>2022</v>
      </c>
      <c r="C15" t="s">
        <v>35</v>
      </c>
      <c r="D15" s="40">
        <v>82.28</v>
      </c>
      <c r="E15" s="11">
        <f t="shared" si="0"/>
        <v>1.6806722689075623E-2</v>
      </c>
    </row>
    <row r="16" spans="1:5" x14ac:dyDescent="0.3">
      <c r="A16" s="41">
        <v>44621</v>
      </c>
      <c r="B16">
        <v>2022</v>
      </c>
      <c r="C16" t="s">
        <v>36</v>
      </c>
      <c r="D16" s="40">
        <v>78.540000000000006</v>
      </c>
      <c r="E16" s="11">
        <f t="shared" si="0"/>
        <v>-4.5454545454545393E-2</v>
      </c>
    </row>
    <row r="17" spans="1:5" x14ac:dyDescent="0.3">
      <c r="A17" s="41">
        <v>44652</v>
      </c>
      <c r="B17">
        <v>2022</v>
      </c>
      <c r="C17" t="s">
        <v>37</v>
      </c>
      <c r="D17" s="40">
        <v>102.97</v>
      </c>
      <c r="E17" s="11">
        <f t="shared" si="0"/>
        <v>0.31105169340463446</v>
      </c>
    </row>
    <row r="18" spans="1:5" x14ac:dyDescent="0.3">
      <c r="A18" s="41">
        <v>44682</v>
      </c>
      <c r="B18">
        <v>2022</v>
      </c>
      <c r="C18" t="s">
        <v>38</v>
      </c>
      <c r="D18" s="40">
        <v>109.51</v>
      </c>
      <c r="E18" s="11">
        <f t="shared" si="0"/>
        <v>6.3513644750898379E-2</v>
      </c>
    </row>
    <row r="19" spans="1:5" x14ac:dyDescent="0.3">
      <c r="A19" s="41">
        <v>44713</v>
      </c>
      <c r="B19">
        <v>2022</v>
      </c>
      <c r="C19" t="s">
        <v>39</v>
      </c>
      <c r="D19" s="40">
        <v>116.01</v>
      </c>
      <c r="E19" s="11">
        <f t="shared" si="0"/>
        <v>5.9355310017350012E-2</v>
      </c>
    </row>
    <row r="20" spans="1:5" x14ac:dyDescent="0.3">
      <c r="A20" s="41">
        <v>44743</v>
      </c>
      <c r="B20">
        <v>2022</v>
      </c>
      <c r="C20" t="s">
        <v>40</v>
      </c>
      <c r="D20" s="40">
        <v>105.49</v>
      </c>
      <c r="E20" s="11">
        <f t="shared" si="0"/>
        <v>-9.0681837772605897E-2</v>
      </c>
    </row>
    <row r="21" spans="1:5" x14ac:dyDescent="0.3">
      <c r="A21" s="41">
        <v>44774</v>
      </c>
      <c r="B21">
        <v>2022</v>
      </c>
      <c r="C21" t="s">
        <v>41</v>
      </c>
      <c r="D21" s="40">
        <v>97.4</v>
      </c>
      <c r="E21" s="11">
        <f t="shared" si="0"/>
        <v>-7.6689733624040093E-2</v>
      </c>
    </row>
    <row r="22" spans="1:5" x14ac:dyDescent="0.3">
      <c r="A22" s="41">
        <v>44805</v>
      </c>
      <c r="B22">
        <v>2022</v>
      </c>
      <c r="C22" t="s">
        <v>42</v>
      </c>
      <c r="D22" s="40">
        <v>90.71</v>
      </c>
      <c r="E22" s="11">
        <f t="shared" si="0"/>
        <v>-6.8685831622176716E-2</v>
      </c>
    </row>
    <row r="23" spans="1:5" x14ac:dyDescent="0.3">
      <c r="A23" s="41">
        <v>44835</v>
      </c>
      <c r="B23">
        <v>2022</v>
      </c>
      <c r="C23" t="s">
        <v>43</v>
      </c>
      <c r="D23" s="40">
        <v>91.7</v>
      </c>
      <c r="E23" s="11">
        <f t="shared" si="0"/>
        <v>1.0913901444162818E-2</v>
      </c>
    </row>
    <row r="24" spans="1:5" x14ac:dyDescent="0.3">
      <c r="A24" s="41">
        <v>44866</v>
      </c>
      <c r="B24">
        <v>2022</v>
      </c>
      <c r="C24" t="s">
        <v>45</v>
      </c>
      <c r="D24" s="40">
        <v>87.55</v>
      </c>
      <c r="E24" s="11">
        <f t="shared" si="0"/>
        <v>-4.5256270447110204E-2</v>
      </c>
    </row>
    <row r="25" spans="1:5" x14ac:dyDescent="0.3">
      <c r="A25" s="41">
        <v>44896</v>
      </c>
      <c r="B25">
        <v>2022</v>
      </c>
      <c r="C25" t="s">
        <v>46</v>
      </c>
      <c r="D25" s="40">
        <v>78.099999999999994</v>
      </c>
      <c r="E25" s="11">
        <f t="shared" si="0"/>
        <v>-0.10793832095945177</v>
      </c>
    </row>
    <row r="26" spans="1:5" x14ac:dyDescent="0.3">
      <c r="A26" s="41">
        <v>44927</v>
      </c>
      <c r="B26">
        <v>2023</v>
      </c>
      <c r="C26" t="s">
        <v>31</v>
      </c>
      <c r="D26" s="40">
        <v>80.92</v>
      </c>
      <c r="E26" s="11">
        <f t="shared" si="0"/>
        <v>3.6107554417413666E-2</v>
      </c>
    </row>
    <row r="27" spans="1:5" x14ac:dyDescent="0.3">
      <c r="A27" s="41">
        <v>44958</v>
      </c>
      <c r="B27">
        <v>2023</v>
      </c>
      <c r="C27" t="s">
        <v>35</v>
      </c>
      <c r="D27" s="40">
        <v>82.28</v>
      </c>
      <c r="E27" s="11">
        <f t="shared" si="0"/>
        <v>1.6806722689075623E-2</v>
      </c>
    </row>
    <row r="28" spans="1:5" x14ac:dyDescent="0.3">
      <c r="A28" s="41">
        <v>44986</v>
      </c>
      <c r="B28">
        <v>2023</v>
      </c>
      <c r="C28" t="s">
        <v>36</v>
      </c>
      <c r="D28" s="40">
        <v>78.540000000000006</v>
      </c>
      <c r="E28" s="11">
        <f t="shared" si="0"/>
        <v>-4.5454545454545393E-2</v>
      </c>
    </row>
    <row r="29" spans="1:5" x14ac:dyDescent="0.3">
      <c r="A29" s="41">
        <v>45017</v>
      </c>
      <c r="B29">
        <v>2023</v>
      </c>
      <c r="C29" t="s">
        <v>37</v>
      </c>
      <c r="D29" s="40">
        <v>83.76</v>
      </c>
      <c r="E29" s="11">
        <f t="shared" si="0"/>
        <v>6.6462948815889974E-2</v>
      </c>
    </row>
    <row r="30" spans="1:5" x14ac:dyDescent="0.3">
      <c r="A30" s="41">
        <v>45047</v>
      </c>
      <c r="B30">
        <v>2023</v>
      </c>
      <c r="C30" t="s">
        <v>38</v>
      </c>
      <c r="D30" s="40">
        <v>74.98</v>
      </c>
      <c r="E30" s="11">
        <f t="shared" si="0"/>
        <v>-0.10482330468003821</v>
      </c>
    </row>
  </sheetData>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A14B3-25B3-4181-BF6B-C379DD89BD3A}">
  <dimension ref="A1:B4"/>
  <sheetViews>
    <sheetView workbookViewId="0">
      <selection activeCell="B11" sqref="B11"/>
    </sheetView>
  </sheetViews>
  <sheetFormatPr defaultRowHeight="14.4" x14ac:dyDescent="0.3"/>
  <cols>
    <col min="1" max="1" width="48" customWidth="1"/>
    <col min="2" max="2" width="110" customWidth="1"/>
  </cols>
  <sheetData>
    <row r="1" spans="1:2" x14ac:dyDescent="0.3">
      <c r="A1" s="43" t="s">
        <v>162</v>
      </c>
      <c r="B1" s="43" t="s">
        <v>161</v>
      </c>
    </row>
    <row r="2" spans="1:2" x14ac:dyDescent="0.3">
      <c r="A2" t="s">
        <v>160</v>
      </c>
      <c r="B2" t="s">
        <v>159</v>
      </c>
    </row>
    <row r="3" spans="1:2" x14ac:dyDescent="0.3">
      <c r="A3" t="s">
        <v>158</v>
      </c>
      <c r="B3" t="s">
        <v>157</v>
      </c>
    </row>
    <row r="4" spans="1:2" x14ac:dyDescent="0.3">
      <c r="A4" t="s">
        <v>156</v>
      </c>
      <c r="B4" t="s">
        <v>155</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AB49E24-0DA7-4414-823F-0667D329680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Objective 1</vt:lpstr>
      <vt:lpstr>Objective 2</vt:lpstr>
      <vt:lpstr>Objective 3</vt:lpstr>
      <vt:lpstr>Objective 4</vt:lpstr>
      <vt:lpstr>All_India_Index_Upto_April23 </vt:lpstr>
      <vt:lpstr>Objective 5</vt:lpstr>
      <vt:lpstr>Dashboard</vt:lpstr>
      <vt:lpstr>Data Dictionary</vt:lpstr>
      <vt:lpstr>Crude Oil Data</vt:lpstr>
      <vt:lpstr>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KANCHAN</dc:creator>
  <cp:lastModifiedBy>kanchan prajapati</cp:lastModifiedBy>
  <dcterms:created xsi:type="dcterms:W3CDTF">2026-08-05T08:25:39Z</dcterms:created>
  <dcterms:modified xsi:type="dcterms:W3CDTF">2026-08-13T13:37:20Z</dcterms:modified>
</cp:coreProperties>
</file>